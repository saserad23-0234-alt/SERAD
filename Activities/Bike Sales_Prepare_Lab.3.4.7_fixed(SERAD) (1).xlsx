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urjanah\Downloads\"/>
    </mc:Choice>
  </mc:AlternateContent>
  <xr:revisionPtr revIDLastSave="0" documentId="8_{BD8FF62D-396C-4EEF-BA9E-8A33ECFD04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 Sales (4)" sheetId="7" r:id="rId1"/>
    <sheet name="Bike Sales (3)" sheetId="3" state="hidden" r:id="rId2"/>
    <sheet name="Bike Sales (2)" sheetId="2" state="hidden" r:id="rId3"/>
    <sheet name="Fact_Sales" sheetId="1" r:id="rId4"/>
    <sheet name="Customer_Dim" sheetId="4" r:id="rId5"/>
    <sheet name="Product_Dim" sheetId="5" r:id="rId6"/>
    <sheet name="Order_Dim" sheetId="6" r:id="rId7"/>
  </sheets>
  <definedNames>
    <definedName name="_xlcn.WorksheetConnection_BikeSales_Prepare_Lab.3.4.7_fixed.xlsxCustomer_Dim1" hidden="1">Customer_Dim[]</definedName>
    <definedName name="_xlcn.WorksheetConnection_BikeSales_Prepare_Lab.3.4.7_fixed.xlsxFact_Sales1" hidden="1">Fact_Sales[]</definedName>
    <definedName name="_xlcn.WorksheetConnection_BikeSales_Prepare_Lab.3.4.7_fixed.xlsxOrder_Dim1" hidden="1">Order_Dim[]</definedName>
    <definedName name="_xlcn.WorksheetConnection_BikeSales_Prepare_Lab.3.4.7_fixed.xlsxProduct_Dim1" hidden="1">Product_Dim[]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Fact_Sales" name="Fact_Sales" connection="WorksheetConnection_Bike Sales_Prepare_Lab.3.4.7_fixed.xlsx!Fact_Sales"/>
          <x15:modelTable id="Customer_Dim" name="Customer_Dim" connection="WorksheetConnection_Bike Sales_Prepare_Lab.3.4.7_fixed.xlsx!Customer_Dim"/>
          <x15:modelTable id="Product_Dim" name="Product_Dim" connection="WorksheetConnection_Bike Sales_Prepare_Lab.3.4.7_fixed.xlsx!Product_Dim"/>
          <x15:modelTable id="Order_Dim" name="Order_Dim" connection="WorksheetConnection_Bike Sales_Prepare_Lab.3.4.7_fixed.xlsx!Order_Dim"/>
        </x15:modelTables>
        <x15:modelRelationships>
          <x15:modelRelationship fromTable="Fact_Sales" fromColumn="Customer_id" toTable="Customer_Dim" toColumn="Customer_id"/>
          <x15:modelRelationship fromTable="Fact_Sales" fromColumn="Product_id" toTable="Product_Dim" toColumn="Product_id"/>
          <x15:modelRelationship fromTable="Fact_Sales" fromColumn="Order_id" toTable="Order_Dim" toColumn="Ord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9" i="7" l="1"/>
  <c r="U89" i="7"/>
  <c r="J89" i="7"/>
  <c r="V88" i="7"/>
  <c r="U88" i="7"/>
  <c r="J88" i="7"/>
  <c r="V87" i="7"/>
  <c r="U87" i="7"/>
  <c r="J87" i="7"/>
  <c r="V86" i="7"/>
  <c r="U86" i="7"/>
  <c r="J86" i="7"/>
  <c r="V85" i="7"/>
  <c r="U85" i="7"/>
  <c r="J85" i="7"/>
  <c r="V84" i="7"/>
  <c r="U84" i="7"/>
  <c r="J84" i="7"/>
  <c r="V83" i="7"/>
  <c r="U83" i="7"/>
  <c r="J83" i="7"/>
  <c r="V82" i="7"/>
  <c r="U82" i="7"/>
  <c r="J82" i="7"/>
  <c r="V81" i="7"/>
  <c r="U81" i="7"/>
  <c r="J81" i="7"/>
  <c r="V80" i="7"/>
  <c r="U80" i="7"/>
  <c r="J80" i="7"/>
  <c r="V79" i="7"/>
  <c r="U79" i="7"/>
  <c r="J79" i="7"/>
  <c r="V78" i="7"/>
  <c r="U78" i="7"/>
  <c r="J78" i="7"/>
  <c r="V77" i="7"/>
  <c r="U77" i="7"/>
  <c r="J77" i="7"/>
  <c r="V76" i="7"/>
  <c r="U76" i="7"/>
  <c r="J76" i="7"/>
  <c r="V75" i="7"/>
  <c r="U75" i="7"/>
  <c r="J75" i="7"/>
  <c r="V74" i="7"/>
  <c r="U74" i="7"/>
  <c r="J74" i="7"/>
  <c r="V73" i="7"/>
  <c r="U73" i="7"/>
  <c r="J73" i="7"/>
  <c r="V72" i="7"/>
  <c r="U72" i="7"/>
  <c r="J72" i="7"/>
  <c r="V71" i="7"/>
  <c r="U71" i="7"/>
  <c r="J71" i="7"/>
  <c r="V70" i="7"/>
  <c r="U70" i="7"/>
  <c r="J70" i="7"/>
  <c r="V69" i="7"/>
  <c r="U69" i="7"/>
  <c r="J69" i="7"/>
  <c r="V68" i="7"/>
  <c r="U68" i="7"/>
  <c r="J68" i="7"/>
  <c r="V67" i="7"/>
  <c r="U67" i="7"/>
  <c r="J67" i="7"/>
  <c r="V66" i="7"/>
  <c r="U66" i="7"/>
  <c r="J66" i="7"/>
  <c r="V65" i="7"/>
  <c r="U65" i="7"/>
  <c r="J65" i="7"/>
  <c r="V64" i="7"/>
  <c r="U64" i="7"/>
  <c r="J64" i="7"/>
  <c r="V63" i="7"/>
  <c r="U63" i="7"/>
  <c r="J63" i="7"/>
  <c r="V62" i="7"/>
  <c r="U62" i="7"/>
  <c r="J62" i="7"/>
  <c r="V61" i="7"/>
  <c r="U61" i="7"/>
  <c r="J61" i="7"/>
  <c r="V60" i="7"/>
  <c r="U60" i="7"/>
  <c r="J60" i="7"/>
  <c r="V59" i="7"/>
  <c r="U59" i="7"/>
  <c r="J59" i="7"/>
  <c r="V58" i="7"/>
  <c r="U58" i="7"/>
  <c r="J58" i="7"/>
  <c r="V57" i="7"/>
  <c r="U57" i="7"/>
  <c r="J57" i="7"/>
  <c r="V56" i="7"/>
  <c r="U56" i="7"/>
  <c r="J56" i="7"/>
  <c r="V55" i="7"/>
  <c r="U55" i="7"/>
  <c r="J55" i="7"/>
  <c r="V54" i="7"/>
  <c r="U54" i="7"/>
  <c r="J54" i="7"/>
  <c r="V53" i="7"/>
  <c r="U53" i="7"/>
  <c r="J53" i="7"/>
  <c r="V52" i="7"/>
  <c r="U52" i="7"/>
  <c r="J52" i="7"/>
  <c r="V51" i="7"/>
  <c r="U51" i="7"/>
  <c r="J51" i="7"/>
  <c r="V50" i="7"/>
  <c r="U50" i="7"/>
  <c r="J50" i="7"/>
  <c r="V49" i="7"/>
  <c r="U49" i="7"/>
  <c r="J49" i="7"/>
  <c r="V48" i="7"/>
  <c r="U48" i="7"/>
  <c r="J48" i="7"/>
  <c r="V47" i="7"/>
  <c r="U47" i="7"/>
  <c r="J47" i="7"/>
  <c r="V46" i="7"/>
  <c r="U46" i="7"/>
  <c r="J46" i="7"/>
  <c r="V45" i="7"/>
  <c r="U45" i="7"/>
  <c r="J45" i="7"/>
  <c r="V44" i="7"/>
  <c r="U44" i="7"/>
  <c r="J44" i="7"/>
  <c r="V43" i="7"/>
  <c r="U43" i="7"/>
  <c r="J43" i="7"/>
  <c r="V42" i="7"/>
  <c r="U42" i="7"/>
  <c r="J42" i="7"/>
  <c r="V41" i="7"/>
  <c r="U41" i="7"/>
  <c r="J41" i="7"/>
  <c r="V40" i="7"/>
  <c r="U40" i="7"/>
  <c r="J40" i="7"/>
  <c r="V39" i="7"/>
  <c r="U39" i="7"/>
  <c r="J39" i="7"/>
  <c r="V38" i="7"/>
  <c r="U38" i="7"/>
  <c r="J38" i="7"/>
  <c r="V37" i="7"/>
  <c r="U37" i="7"/>
  <c r="J37" i="7"/>
  <c r="V36" i="7"/>
  <c r="U36" i="7"/>
  <c r="J36" i="7"/>
  <c r="V35" i="7"/>
  <c r="U35" i="7"/>
  <c r="J35" i="7"/>
  <c r="V34" i="7"/>
  <c r="U34" i="7"/>
  <c r="J34" i="7"/>
  <c r="V33" i="7"/>
  <c r="U33" i="7"/>
  <c r="J33" i="7"/>
  <c r="V32" i="7"/>
  <c r="U32" i="7"/>
  <c r="J32" i="7"/>
  <c r="V31" i="7"/>
  <c r="U31" i="7"/>
  <c r="J31" i="7"/>
  <c r="V30" i="7"/>
  <c r="U30" i="7"/>
  <c r="J30" i="7"/>
  <c r="V29" i="7"/>
  <c r="U29" i="7"/>
  <c r="J29" i="7"/>
  <c r="V28" i="7"/>
  <c r="U28" i="7"/>
  <c r="J28" i="7"/>
  <c r="V27" i="7"/>
  <c r="U27" i="7"/>
  <c r="J27" i="7"/>
  <c r="V26" i="7"/>
  <c r="U26" i="7"/>
  <c r="J26" i="7"/>
  <c r="V25" i="7"/>
  <c r="U25" i="7"/>
  <c r="J25" i="7"/>
  <c r="V24" i="7"/>
  <c r="U24" i="7"/>
  <c r="J24" i="7"/>
  <c r="V23" i="7"/>
  <c r="U23" i="7"/>
  <c r="J23" i="7"/>
  <c r="V22" i="7"/>
  <c r="U22" i="7"/>
  <c r="J22" i="7"/>
  <c r="V21" i="7"/>
  <c r="U21" i="7"/>
  <c r="J21" i="7"/>
  <c r="V20" i="7"/>
  <c r="U20" i="7"/>
  <c r="J20" i="7"/>
  <c r="V19" i="7"/>
  <c r="U19" i="7"/>
  <c r="J19" i="7"/>
  <c r="V18" i="7"/>
  <c r="U18" i="7"/>
  <c r="J18" i="7"/>
  <c r="V17" i="7"/>
  <c r="U17" i="7"/>
  <c r="J17" i="7"/>
  <c r="V16" i="7"/>
  <c r="U16" i="7"/>
  <c r="J16" i="7"/>
  <c r="V15" i="7"/>
  <c r="U15" i="7"/>
  <c r="J15" i="7"/>
  <c r="V14" i="7"/>
  <c r="U14" i="7"/>
  <c r="J14" i="7"/>
  <c r="V13" i="7"/>
  <c r="U13" i="7"/>
  <c r="J13" i="7"/>
  <c r="V12" i="7"/>
  <c r="U12" i="7"/>
  <c r="J12" i="7"/>
  <c r="V11" i="7"/>
  <c r="U11" i="7"/>
  <c r="J11" i="7"/>
  <c r="V10" i="7"/>
  <c r="U10" i="7"/>
  <c r="J10" i="7"/>
  <c r="V9" i="7"/>
  <c r="U9" i="7"/>
  <c r="J9" i="7"/>
  <c r="V8" i="7"/>
  <c r="U8" i="7"/>
  <c r="J8" i="7"/>
  <c r="V7" i="7"/>
  <c r="U7" i="7"/>
  <c r="J7" i="7"/>
  <c r="V6" i="7"/>
  <c r="U6" i="7"/>
  <c r="J6" i="7"/>
  <c r="V5" i="7"/>
  <c r="U5" i="7"/>
  <c r="J5" i="7"/>
  <c r="V4" i="7"/>
  <c r="U4" i="7"/>
  <c r="J4" i="7"/>
  <c r="V3" i="7"/>
  <c r="U3" i="7"/>
  <c r="J3" i="7"/>
  <c r="V2" i="7"/>
  <c r="U2" i="7"/>
  <c r="J2" i="7"/>
  <c r="V89" i="3" l="1"/>
  <c r="U89" i="3"/>
  <c r="J89" i="3"/>
  <c r="V88" i="3"/>
  <c r="U88" i="3"/>
  <c r="J88" i="3"/>
  <c r="V87" i="3"/>
  <c r="U87" i="3"/>
  <c r="J87" i="3"/>
  <c r="V86" i="3"/>
  <c r="U86" i="3"/>
  <c r="J86" i="3"/>
  <c r="V85" i="3"/>
  <c r="U85" i="3"/>
  <c r="J85" i="3"/>
  <c r="V84" i="3"/>
  <c r="U84" i="3"/>
  <c r="J84" i="3"/>
  <c r="V83" i="3"/>
  <c r="U83" i="3"/>
  <c r="J83" i="3"/>
  <c r="V82" i="3"/>
  <c r="U82" i="3"/>
  <c r="J82" i="3"/>
  <c r="V81" i="3"/>
  <c r="U81" i="3"/>
  <c r="J81" i="3"/>
  <c r="V80" i="3"/>
  <c r="U80" i="3"/>
  <c r="J80" i="3"/>
  <c r="V79" i="3"/>
  <c r="U79" i="3"/>
  <c r="J79" i="3"/>
  <c r="V78" i="3"/>
  <c r="U78" i="3"/>
  <c r="J78" i="3"/>
  <c r="V77" i="3"/>
  <c r="U77" i="3"/>
  <c r="J77" i="3"/>
  <c r="V76" i="3"/>
  <c r="U76" i="3"/>
  <c r="J76" i="3"/>
  <c r="V75" i="3"/>
  <c r="U75" i="3"/>
  <c r="J75" i="3"/>
  <c r="V74" i="3"/>
  <c r="U74" i="3"/>
  <c r="J74" i="3"/>
  <c r="V73" i="3"/>
  <c r="U73" i="3"/>
  <c r="J73" i="3"/>
  <c r="V72" i="3"/>
  <c r="U72" i="3"/>
  <c r="J72" i="3"/>
  <c r="V71" i="3"/>
  <c r="U71" i="3"/>
  <c r="J71" i="3"/>
  <c r="V70" i="3"/>
  <c r="U70" i="3"/>
  <c r="J70" i="3"/>
  <c r="V69" i="3"/>
  <c r="U69" i="3"/>
  <c r="J69" i="3"/>
  <c r="V68" i="3"/>
  <c r="U68" i="3"/>
  <c r="J68" i="3"/>
  <c r="V67" i="3"/>
  <c r="U67" i="3"/>
  <c r="J67" i="3"/>
  <c r="V66" i="3"/>
  <c r="U66" i="3"/>
  <c r="J66" i="3"/>
  <c r="V65" i="3"/>
  <c r="U65" i="3"/>
  <c r="J65" i="3"/>
  <c r="V64" i="3"/>
  <c r="U64" i="3"/>
  <c r="J64" i="3"/>
  <c r="V63" i="3"/>
  <c r="U63" i="3"/>
  <c r="J63" i="3"/>
  <c r="V62" i="3"/>
  <c r="U62" i="3"/>
  <c r="J62" i="3"/>
  <c r="V61" i="3"/>
  <c r="U61" i="3"/>
  <c r="J61" i="3"/>
  <c r="V60" i="3"/>
  <c r="U60" i="3"/>
  <c r="J60" i="3"/>
  <c r="V59" i="3"/>
  <c r="U59" i="3"/>
  <c r="J59" i="3"/>
  <c r="V58" i="3"/>
  <c r="U58" i="3"/>
  <c r="J58" i="3"/>
  <c r="V57" i="3"/>
  <c r="U57" i="3"/>
  <c r="J57" i="3"/>
  <c r="V56" i="3"/>
  <c r="U56" i="3"/>
  <c r="J56" i="3"/>
  <c r="V55" i="3"/>
  <c r="U55" i="3"/>
  <c r="J55" i="3"/>
  <c r="V54" i="3"/>
  <c r="U54" i="3"/>
  <c r="J54" i="3"/>
  <c r="V53" i="3"/>
  <c r="U53" i="3"/>
  <c r="J53" i="3"/>
  <c r="V52" i="3"/>
  <c r="U52" i="3"/>
  <c r="J52" i="3"/>
  <c r="V51" i="3"/>
  <c r="U51" i="3"/>
  <c r="J51" i="3"/>
  <c r="V50" i="3"/>
  <c r="U50" i="3"/>
  <c r="J50" i="3"/>
  <c r="V49" i="3"/>
  <c r="U49" i="3"/>
  <c r="J49" i="3"/>
  <c r="V48" i="3"/>
  <c r="U48" i="3"/>
  <c r="J48" i="3"/>
  <c r="V47" i="3"/>
  <c r="U47" i="3"/>
  <c r="J47" i="3"/>
  <c r="V46" i="3"/>
  <c r="U46" i="3"/>
  <c r="J46" i="3"/>
  <c r="V45" i="3"/>
  <c r="U45" i="3"/>
  <c r="J45" i="3"/>
  <c r="V44" i="3"/>
  <c r="U44" i="3"/>
  <c r="J44" i="3"/>
  <c r="V43" i="3"/>
  <c r="U43" i="3"/>
  <c r="J43" i="3"/>
  <c r="V42" i="3"/>
  <c r="U42" i="3"/>
  <c r="J42" i="3"/>
  <c r="V41" i="3"/>
  <c r="U41" i="3"/>
  <c r="J41" i="3"/>
  <c r="V40" i="3"/>
  <c r="U40" i="3"/>
  <c r="J40" i="3"/>
  <c r="V39" i="3"/>
  <c r="U39" i="3"/>
  <c r="J39" i="3"/>
  <c r="V38" i="3"/>
  <c r="U38" i="3"/>
  <c r="J38" i="3"/>
  <c r="V37" i="3"/>
  <c r="U37" i="3"/>
  <c r="J37" i="3"/>
  <c r="V36" i="3"/>
  <c r="U36" i="3"/>
  <c r="J36" i="3"/>
  <c r="V35" i="3"/>
  <c r="U35" i="3"/>
  <c r="J35" i="3"/>
  <c r="V34" i="3"/>
  <c r="U34" i="3"/>
  <c r="J34" i="3"/>
  <c r="V33" i="3"/>
  <c r="U33" i="3"/>
  <c r="J33" i="3"/>
  <c r="V32" i="3"/>
  <c r="U32" i="3"/>
  <c r="J32" i="3"/>
  <c r="V31" i="3"/>
  <c r="U31" i="3"/>
  <c r="J31" i="3"/>
  <c r="V30" i="3"/>
  <c r="U30" i="3"/>
  <c r="J30" i="3"/>
  <c r="V29" i="3"/>
  <c r="U29" i="3"/>
  <c r="J29" i="3"/>
  <c r="V28" i="3"/>
  <c r="U28" i="3"/>
  <c r="J28" i="3"/>
  <c r="V27" i="3"/>
  <c r="U27" i="3"/>
  <c r="J27" i="3"/>
  <c r="V26" i="3"/>
  <c r="U26" i="3"/>
  <c r="J26" i="3"/>
  <c r="V25" i="3"/>
  <c r="U25" i="3"/>
  <c r="J25" i="3"/>
  <c r="V24" i="3"/>
  <c r="U24" i="3"/>
  <c r="J24" i="3"/>
  <c r="V23" i="3"/>
  <c r="U23" i="3"/>
  <c r="J23" i="3"/>
  <c r="V22" i="3"/>
  <c r="U22" i="3"/>
  <c r="J22" i="3"/>
  <c r="V21" i="3"/>
  <c r="U21" i="3"/>
  <c r="J21" i="3"/>
  <c r="V20" i="3"/>
  <c r="U20" i="3"/>
  <c r="J20" i="3"/>
  <c r="V19" i="3"/>
  <c r="U19" i="3"/>
  <c r="J19" i="3"/>
  <c r="V18" i="3"/>
  <c r="U18" i="3"/>
  <c r="J18" i="3"/>
  <c r="V17" i="3"/>
  <c r="U17" i="3"/>
  <c r="J17" i="3"/>
  <c r="V16" i="3"/>
  <c r="U16" i="3"/>
  <c r="J16" i="3"/>
  <c r="V15" i="3"/>
  <c r="U15" i="3"/>
  <c r="J15" i="3"/>
  <c r="V14" i="3"/>
  <c r="U14" i="3"/>
  <c r="J14" i="3"/>
  <c r="V13" i="3"/>
  <c r="U13" i="3"/>
  <c r="J13" i="3"/>
  <c r="V12" i="3"/>
  <c r="U12" i="3"/>
  <c r="J12" i="3"/>
  <c r="V11" i="3"/>
  <c r="U11" i="3"/>
  <c r="J11" i="3"/>
  <c r="V10" i="3"/>
  <c r="U10" i="3"/>
  <c r="J10" i="3"/>
  <c r="V9" i="3"/>
  <c r="U9" i="3"/>
  <c r="J9" i="3"/>
  <c r="V8" i="3"/>
  <c r="U8" i="3"/>
  <c r="J8" i="3"/>
  <c r="V7" i="3"/>
  <c r="U7" i="3"/>
  <c r="J7" i="3"/>
  <c r="V6" i="3"/>
  <c r="U6" i="3"/>
  <c r="J6" i="3"/>
  <c r="V5" i="3"/>
  <c r="U5" i="3"/>
  <c r="J5" i="3"/>
  <c r="V4" i="3"/>
  <c r="U4" i="3"/>
  <c r="J4" i="3"/>
  <c r="V3" i="3"/>
  <c r="U3" i="3"/>
  <c r="J3" i="3"/>
  <c r="V2" i="3"/>
  <c r="U2" i="3"/>
  <c r="J2" i="3"/>
  <c r="S90" i="2" l="1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J8" i="1" l="1"/>
  <c r="I8" i="1"/>
  <c r="I3" i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2" i="1"/>
  <c r="J3" i="1"/>
  <c r="J4" i="1"/>
  <c r="J5" i="1"/>
  <c r="J6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EDBE0-C314-4164-94E1-05169D01D8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A0143B3-3768-4616-81B0-C92EFF0997FE}" name="WorksheetConnection_Bike Sales_Prepare_Lab.3.4.7_fixed.xlsx!Customer_Dim" type="102" refreshedVersion="8" minRefreshableVersion="5">
    <extLst>
      <ext xmlns:x15="http://schemas.microsoft.com/office/spreadsheetml/2010/11/main" uri="{DE250136-89BD-433C-8126-D09CA5730AF9}">
        <x15:connection id="Customer_Dim">
          <x15:rangePr sourceName="_xlcn.WorksheetConnection_BikeSales_Prepare_Lab.3.4.7_fixed.xlsxCustomer_Dim1"/>
        </x15:connection>
      </ext>
    </extLst>
  </connection>
  <connection id="3" xr16:uid="{E3D489DA-1F27-4DBD-A7A1-153527495359}" name="WorksheetConnection_Bike Sales_Prepare_Lab.3.4.7_fixed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BikeSales_Prepare_Lab.3.4.7_fixed.xlsxFact_Sales1"/>
        </x15:connection>
      </ext>
    </extLst>
  </connection>
  <connection id="4" xr16:uid="{CCB1E6D8-D102-44BD-BEE9-0046CCA75809}" name="WorksheetConnection_Bike Sales_Prepare_Lab.3.4.7_fixed.xlsx!Order_Dim" type="102" refreshedVersion="8" minRefreshableVersion="5">
    <extLst>
      <ext xmlns:x15="http://schemas.microsoft.com/office/spreadsheetml/2010/11/main" uri="{DE250136-89BD-433C-8126-D09CA5730AF9}">
        <x15:connection id="Order_Dim">
          <x15:rangePr sourceName="_xlcn.WorksheetConnection_BikeSales_Prepare_Lab.3.4.7_fixed.xlsxOrder_Dim1"/>
        </x15:connection>
      </ext>
    </extLst>
  </connection>
  <connection id="5" xr16:uid="{7AFD10C0-4B40-4064-A982-458116706282}" name="WorksheetConnection_Bike Sales_Prepare_Lab.3.4.7_fixed.xlsx!Product_Dim" type="102" refreshedVersion="8" minRefreshableVersion="5">
    <extLst>
      <ext xmlns:x15="http://schemas.microsoft.com/office/spreadsheetml/2010/11/main" uri="{DE250136-89BD-433C-8126-D09CA5730AF9}">
        <x15:connection id="Product_Dim">
          <x15:rangePr sourceName="_xlcn.WorksheetConnection_BikeSales_Prepare_Lab.3.4.7_fixed.xlsxProduct_Dim1"/>
        </x15:connection>
      </ext>
    </extLst>
  </connection>
</connections>
</file>

<file path=xl/sharedStrings.xml><?xml version="1.0" encoding="utf-8"?>
<sst xmlns="http://schemas.openxmlformats.org/spreadsheetml/2006/main" count="3966" uniqueCount="442">
  <si>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</si>
  <si>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</si>
  <si>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</si>
  <si>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</si>
  <si>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</si>
  <si>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</si>
  <si>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</si>
  <si>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</si>
  <si>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</si>
  <si>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</si>
  <si>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</si>
  <si>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</si>
  <si>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</si>
  <si>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</si>
  <si>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</si>
  <si>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</si>
  <si>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</si>
  <si>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</si>
  <si>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</si>
  <si>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</si>
  <si>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</si>
  <si>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</si>
  <si>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</si>
  <si>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</si>
  <si>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</si>
  <si>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</si>
  <si>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</si>
  <si>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</si>
  <si>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</si>
  <si>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</si>
  <si>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</si>
  <si>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</si>
  <si>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</si>
  <si>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</si>
  <si>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</si>
  <si>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</si>
  <si>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</si>
  <si>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</si>
  <si>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</si>
  <si>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</si>
  <si>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</si>
  <si>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</si>
  <si>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</si>
  <si>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</si>
  <si>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</si>
  <si>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</si>
  <si>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</si>
  <si>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</si>
  <si>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</si>
  <si>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</si>
  <si>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</si>
  <si>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</si>
  <si>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</si>
  <si>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</si>
  <si>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</si>
  <si>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</si>
  <si>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</si>
  <si>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</si>
  <si>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</si>
  <si>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</si>
  <si>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</si>
  <si>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</si>
  <si>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</si>
  <si>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</si>
  <si>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</si>
  <si>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</si>
  <si>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</si>
  <si>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</si>
  <si>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</si>
  <si>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</si>
  <si>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</si>
  <si>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</si>
  <si>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</si>
  <si>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</si>
  <si>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</si>
  <si>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</si>
  <si>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</si>
  <si>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</si>
  <si>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</si>
  <si>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</si>
  <si>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</si>
  <si>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</si>
  <si>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</si>
  <si>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</si>
  <si>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</si>
  <si>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</si>
  <si>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</si>
  <si>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</si>
  <si>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</si>
  <si>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</si>
  <si>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</si>
  <si>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</si>
  <si>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</si>
  <si>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</si>
  <si>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</si>
  <si>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</si>
  <si>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</si>
  <si>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</si>
  <si>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</si>
  <si>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</si>
  <si>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</si>
  <si>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</si>
  <si>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</si>
  <si>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</si>
  <si>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</si>
  <si>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</si>
  <si>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</si>
  <si>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</si>
  <si>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</si>
  <si>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</si>
  <si>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</si>
  <si>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</si>
  <si>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</si>
  <si>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</si>
  <si>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</si>
  <si>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</si>
  <si>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</si>
  <si>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</si>
  <si>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</si>
  <si>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</si>
  <si>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</si>
  <si>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</si>
  <si>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</si>
  <si>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</si>
  <si>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</si>
  <si>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</si>
  <si>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</si>
  <si>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</si>
  <si>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</si>
  <si>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</si>
  <si>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</si>
  <si>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</si>
  <si>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</si>
  <si>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</si>
  <si>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</si>
  <si>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</si>
  <si>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</si>
  <si>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</si>
  <si>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</si>
  <si>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</si>
  <si>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</si>
  <si>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</si>
  <si>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</si>
  <si>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</si>
  <si>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</si>
  <si>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</si>
  <si>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</si>
  <si>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</si>
  <si>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</si>
  <si>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</si>
  <si>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</si>
  <si>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</si>
  <si>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</si>
  <si>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</si>
  <si>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</si>
  <si>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</si>
  <si>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</si>
  <si>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</si>
  <si>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</si>
  <si>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</si>
  <si>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</si>
  <si>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</si>
  <si>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</si>
  <si>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</si>
  <si>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</si>
  <si>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</si>
  <si>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</si>
  <si>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Size</t>
  </si>
  <si>
    <t>Model</t>
  </si>
  <si>
    <t>Youth(&lt;25)</t>
  </si>
  <si>
    <t>Length</t>
  </si>
  <si>
    <t>Female</t>
  </si>
  <si>
    <t>Male</t>
  </si>
  <si>
    <t>Age_ group</t>
  </si>
  <si>
    <t>Customer_id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</si>
  <si>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</si>
  <si>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</si>
  <si>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</si>
  <si>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</si>
  <si>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</si>
  <si>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</si>
  <si>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</si>
  <si>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</si>
  <si>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</si>
  <si>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</si>
  <si>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</si>
  <si>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</si>
  <si>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</si>
  <si>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</si>
  <si>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</si>
  <si>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</si>
  <si>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</si>
  <si>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</si>
  <si>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</si>
  <si>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</si>
  <si>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</si>
  <si>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</si>
  <si>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</si>
  <si>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</si>
  <si>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</si>
  <si>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</si>
  <si>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</si>
  <si>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</si>
  <si>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</si>
  <si>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</si>
  <si>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</si>
  <si>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</si>
  <si>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</si>
  <si>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</si>
  <si>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</si>
  <si>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</si>
  <si>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</si>
  <si>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</si>
  <si>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</si>
  <si>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</si>
  <si>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</si>
  <si>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</si>
  <si>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</si>
  <si>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</si>
  <si>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</si>
  <si>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</si>
  <si>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</si>
  <si>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</si>
  <si>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</si>
  <si>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</si>
  <si>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</si>
  <si>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</si>
  <si>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</si>
  <si>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</si>
  <si>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</si>
  <si>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</si>
  <si>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</si>
  <si>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</si>
  <si>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</si>
  <si>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</si>
  <si>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</si>
  <si>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</si>
  <si>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</si>
  <si>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</si>
  <si>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</si>
  <si>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</si>
  <si>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</si>
  <si>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</si>
  <si>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</si>
  <si>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</si>
  <si>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</si>
  <si>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</si>
  <si>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</si>
  <si>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</si>
  <si>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</si>
  <si>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</si>
  <si>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</si>
  <si>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</si>
  <si>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</si>
  <si>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</si>
  <si>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</si>
  <si>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</si>
  <si>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</si>
  <si>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</si>
  <si>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</si>
  <si>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</si>
  <si>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</si>
  <si>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</si>
  <si>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Product_id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</si>
  <si>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</si>
  <si>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</si>
  <si>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</si>
  <si>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</si>
  <si>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</si>
  <si>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</si>
  <si>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</si>
  <si>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</si>
  <si>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</si>
  <si>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</si>
  <si>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</si>
  <si>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</si>
  <si>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</si>
  <si>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</si>
  <si>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</si>
  <si>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</si>
  <si>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</si>
  <si>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</si>
  <si>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</si>
  <si>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</si>
  <si>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</si>
  <si>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</si>
  <si>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</si>
  <si>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</si>
  <si>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</si>
  <si>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</si>
  <si>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</si>
  <si>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</si>
  <si>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</si>
  <si>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</si>
  <si>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</si>
  <si>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</si>
  <si>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</si>
  <si>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</si>
  <si>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</si>
  <si>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</si>
  <si>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</si>
  <si>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</si>
  <si>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</si>
  <si>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</si>
  <si>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</si>
  <si>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</si>
  <si>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</si>
  <si>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</si>
  <si>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</si>
  <si>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</si>
  <si>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</si>
  <si>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</si>
  <si>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</si>
  <si>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</si>
  <si>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</si>
  <si>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</si>
  <si>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</si>
  <si>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</si>
  <si>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</si>
  <si>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</si>
  <si>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</si>
  <si>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</si>
  <si>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</si>
  <si>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</si>
  <si>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</si>
  <si>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</si>
  <si>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</si>
  <si>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</si>
  <si>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</si>
  <si>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</si>
  <si>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</si>
  <si>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</si>
  <si>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</si>
  <si>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</si>
  <si>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</si>
  <si>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</si>
  <si>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</si>
  <si>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</si>
  <si>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</si>
  <si>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</si>
  <si>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</si>
  <si>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</si>
  <si>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</si>
  <si>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</si>
  <si>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</si>
  <si>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</si>
  <si>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</si>
  <si>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</si>
  <si>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</si>
  <si>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</si>
  <si>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</si>
  <si>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</si>
  <si>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Order_id</t>
  </si>
  <si>
    <t>O-101</t>
  </si>
  <si>
    <t>O-102</t>
  </si>
  <si>
    <t>O-103</t>
  </si>
  <si>
    <t>O-104</t>
  </si>
  <si>
    <t>O-105</t>
  </si>
  <si>
    <t>O-106</t>
  </si>
  <si>
    <t>O-107</t>
  </si>
  <si>
    <t>O-108</t>
  </si>
  <si>
    <t>O-109</t>
  </si>
  <si>
    <t>O-110</t>
  </si>
  <si>
    <t>O-111</t>
  </si>
  <si>
    <t>O-112</t>
  </si>
  <si>
    <t>O-113</t>
  </si>
  <si>
    <t>O-114</t>
  </si>
  <si>
    <t>O-115</t>
  </si>
  <si>
    <t>O-116</t>
  </si>
  <si>
    <t>O-117</t>
  </si>
  <si>
    <t>O-118</t>
  </si>
  <si>
    <t>O-119</t>
  </si>
  <si>
    <t>O-120</t>
  </si>
  <si>
    <t>O-121</t>
  </si>
  <si>
    <t>O-122</t>
  </si>
  <si>
    <t>O-123</t>
  </si>
  <si>
    <t>O-124</t>
  </si>
  <si>
    <t>O-125</t>
  </si>
  <si>
    <t>O-126</t>
  </si>
  <si>
    <t>O-127</t>
  </si>
  <si>
    <t>O-128</t>
  </si>
  <si>
    <t>O-129</t>
  </si>
  <si>
    <t>O-130</t>
  </si>
  <si>
    <t>O-131</t>
  </si>
  <si>
    <t>O-132</t>
  </si>
  <si>
    <t>O-133</t>
  </si>
  <si>
    <t>O-134</t>
  </si>
  <si>
    <t>O-135</t>
  </si>
  <si>
    <t>O-136</t>
  </si>
  <si>
    <t>O-137</t>
  </si>
  <si>
    <t>O-138</t>
  </si>
  <si>
    <t>O-139</t>
  </si>
  <si>
    <t>O-140</t>
  </si>
  <si>
    <t>O-141</t>
  </si>
  <si>
    <t>O-142</t>
  </si>
  <si>
    <t>O-143</t>
  </si>
  <si>
    <t>O-144</t>
  </si>
  <si>
    <t>O-145</t>
  </si>
  <si>
    <t>O-146</t>
  </si>
  <si>
    <t>O-147</t>
  </si>
  <si>
    <t>O-148</t>
  </si>
  <si>
    <t>O-149</t>
  </si>
  <si>
    <t>O-150</t>
  </si>
  <si>
    <t>O-151</t>
  </si>
  <si>
    <t>O-152</t>
  </si>
  <si>
    <t>O-153</t>
  </si>
  <si>
    <t>O-154</t>
  </si>
  <si>
    <t>O-155</t>
  </si>
  <si>
    <t>O-156</t>
  </si>
  <si>
    <t>O-157</t>
  </si>
  <si>
    <t>O-158</t>
  </si>
  <si>
    <t>O-159</t>
  </si>
  <si>
    <t>O-160</t>
  </si>
  <si>
    <t>O-161</t>
  </si>
  <si>
    <t>O-162</t>
  </si>
  <si>
    <t>O-163</t>
  </si>
  <si>
    <t>O-164</t>
  </si>
  <si>
    <t>O-165</t>
  </si>
  <si>
    <t>O-166</t>
  </si>
  <si>
    <t>O-167</t>
  </si>
  <si>
    <t>O-168</t>
  </si>
  <si>
    <t>O-169</t>
  </si>
  <si>
    <t>O-170</t>
  </si>
  <si>
    <t>O-171</t>
  </si>
  <si>
    <t>O-172</t>
  </si>
  <si>
    <t>O-173</t>
  </si>
  <si>
    <t>O-174</t>
  </si>
  <si>
    <t>O-175</t>
  </si>
  <si>
    <t>O-176</t>
  </si>
  <si>
    <t>O-177</t>
  </si>
  <si>
    <t>O-178</t>
  </si>
  <si>
    <t>O-179</t>
  </si>
  <si>
    <t>O-180</t>
  </si>
  <si>
    <t>O-181</t>
  </si>
  <si>
    <t>O-182</t>
  </si>
  <si>
    <t>O-183</t>
  </si>
  <si>
    <t>O-184</t>
  </si>
  <si>
    <t>O-185</t>
  </si>
  <si>
    <t>O-186</t>
  </si>
  <si>
    <t>O-187</t>
  </si>
  <si>
    <t>O-188</t>
  </si>
  <si>
    <t>Sales_oder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</si>
</sst>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1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/>
    <xf numFmtId="0" fontId="21" fillId="33" borderId="0" xfId="0" applyFont="1" applyFill="1"/>
    <xf numFmtId="0" fontId="16" fillId="34" borderId="0" xfId="0" applyFont="1" applyFill="1" applyAlignment="1">
      <alignment horizontal="center" vertical="center" wrapText="1"/>
    </xf>
    <xf numFmtId="0" fontId="0" fillId="34" borderId="0" xfId="0" applyFill="1"/>
    <xf numFmtId="0" fontId="21" fillId="34" borderId="0" xfId="0" applyFont="1" applyFill="1"/>
    <xf numFmtId="0" fontId="16" fillId="35" borderId="0" xfId="0" applyFont="1" applyFill="1" applyAlignment="1">
      <alignment horizontal="center" vertical="center" wrapText="1"/>
    </xf>
    <xf numFmtId="0" fontId="0" fillId="35" borderId="0" xfId="0" applyFill="1"/>
    <xf numFmtId="0" fontId="21" fillId="35" borderId="0" xfId="0" applyFont="1" applyFill="1"/>
    <xf numFmtId="0" fontId="20" fillId="34" borderId="0" xfId="0" applyFont="1" applyFill="1" applyAlignment="1">
      <alignment horizontal="center" vertical="center" wrapText="1"/>
    </xf>
    <xf numFmtId="0" fontId="19" fillId="34" borderId="0" xfId="0" applyFont="1" applyFill="1"/>
    <xf numFmtId="0" fontId="22" fillId="34" borderId="0" xfId="0" applyFont="1" applyFill="1"/>
    <xf numFmtId="0" fontId="16" fillId="0" borderId="0" xfId="0" applyFont="1"/>
    <xf numFmtId="0" fontId="0" fillId="0" borderId="0" xfId="0" applyFill="1"/>
    <xf numFmtId="0" fontId="16" fillId="0" borderId="0" xfId="0" applyFont="1" applyFill="1" applyAlignment="1">
      <alignment horizontal="center" vertical="center" wrapText="1"/>
    </xf>
    <xf numFmtId="0" fontId="21" fillId="0" borderId="0" xfId="0" applyFont="1" applyFill="1"/>
    <xf numFmtId="0" fontId="20" fillId="0" borderId="0" xfId="0" applyFont="1" applyFill="1" applyAlignment="1">
      <alignment horizontal="center" vertical="center" wrapText="1"/>
    </xf>
    <xf numFmtId="0" fontId="19" fillId="0" borderId="0" xfId="0" applyFont="1" applyFill="1"/>
    <xf numFmtId="0" fontId="22" fillId="0" borderId="0" xfId="0" applyFont="1" applyFill="1"/>
    <xf numFmtId="0" fontId="0" fillId="0" borderId="0" xfId="0" applyAlignment="1">
      <alignment vertical="top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EE590-FFD9-4441-8E5E-DAD652EFDFA0}" name="Fact_Sales" displayName="Fact_Sales" ref="A1:J89" totalsRowShown="0" headerRowDxfId="0">
  <autoFilter ref="A1:J89" xr:uid="{82BEE590-FFD9-4441-8E5E-DAD652EFDFA0}"/>
  <tableColumns count="10">
    <tableColumn id="1" xr3:uid="{425DD150-404C-4927-A88B-5746DCD9AB50}" name="Date" dataDxfId="54"/>
    <tableColumn id="2" xr3:uid="{1E62EDA9-BCAA-4304-A2D3-E0E371049001}" name="Customer_id"/>
    <tableColumn id="3" xr3:uid="{152F9C30-AD3A-449E-A96E-99D6B700F4B5}" name="Product_id"/>
    <tableColumn id="4" xr3:uid="{9422F513-F6D7-45DE-8921-569BD5C123B9}" name="Order_id"/>
    <tableColumn id="5" xr3:uid="{C0945546-F799-48A2-8F2B-3BF9F943F856}" name="Order_Quantity"/>
    <tableColumn id="6" xr3:uid="{B6CEB115-6FE6-457B-AEBE-D30CF6C114DA}" name=" Unit_Cost " dataDxfId="53"/>
    <tableColumn id="7" xr3:uid="{165B2D55-E16E-4BBA-B948-5EDA94767FAB}" name=" Unit_Price " dataDxfId="52"/>
    <tableColumn id="8" xr3:uid="{B9FCF728-B518-4AB3-ABCD-07F2004A6EFF}" name=" Profit " dataDxfId="51"/>
    <tableColumn id="9" xr3:uid="{FF371789-4189-4A09-99EB-D3E57DCE52A0}" name=" Cost " dataDxfId="50">
      <calculatedColumnFormula>E2*F2</calculatedColumnFormula>
    </tableColumn>
    <tableColumn id="10" xr3:uid="{B0D49CB7-C198-45A7-9EA7-0B31399C5035}" name="Revenue" dataDxfId="49">
      <calculatedColumnFormula>E2*G2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C84710-86FD-4864-9D8A-170382EA65C4}" name="Customer_Dim" displayName="Customer_Dim" ref="A1:F89" totalsRowShown="0" headerRowDxfId="46">
  <autoFilter ref="A1:F89" xr:uid="{84C84710-86FD-4864-9D8A-170382EA65C4}"/>
  <tableColumns count="6">
    <tableColumn id="1" xr3:uid="{73FCA955-667B-48BB-8C4F-BC068C38960F}" name="Country" dataDxfId="48"/>
    <tableColumn id="2" xr3:uid="{1397773C-A83A-48A7-95D2-B774618866D9}" name="State" dataDxfId="47"/>
    <tableColumn id="3" xr3:uid="{520A9425-A79F-42BA-9558-CCD480CB84D8}" name="Customer_id"/>
    <tableColumn id="4" xr3:uid="{11FF4545-B9C6-469E-B055-10B0A58F321E}" name="Customer_Age"/>
    <tableColumn id="5" xr3:uid="{1010FE7B-2371-4EAC-B4E2-734D273CFA84}" name="Age_ group"/>
    <tableColumn id="6" xr3:uid="{B7B88659-E805-421B-BC5D-36F5F953FD00}" name="Customer_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79B26E-6A81-4951-8BCE-1CECB36F3633}" name="Product_Dim" displayName="Product_Dim" ref="A1:F89" totalsRowShown="0" headerRowDxfId="39" dataDxfId="40">
  <autoFilter ref="A1:F89" xr:uid="{3479B26E-6A81-4951-8BCE-1CECB36F3633}"/>
  <tableColumns count="6">
    <tableColumn id="1" xr3:uid="{AB49A41C-67D9-480B-AA13-559A9D60CBB9}" name="Product_Category" dataDxfId="45"/>
    <tableColumn id="2" xr3:uid="{C66306F7-0FA7-4FAB-9123-97FE25E96184}" name="Sub_Category" dataDxfId="44"/>
    <tableColumn id="3" xr3:uid="{73C84B33-36EB-4662-BC91-486727D76EA2}" name="Product_id"/>
    <tableColumn id="4" xr3:uid="{FB4F4D63-EF22-48C8-94BF-F914DA046914}" name="Model" dataDxfId="43"/>
    <tableColumn id="5" xr3:uid="{70390AA1-3BEE-49C7-ABEC-8FC8E4D82278}" name="Color" dataDxfId="42"/>
    <tableColumn id="6" xr3:uid="{847188C4-937F-453C-9086-D60A15A5B3BB}" name="Size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2E4597-A5CF-462A-8925-0B56580656F0}" name="Order_Dim" displayName="Order_Dim" ref="A1:B89" totalsRowShown="0">
  <autoFilter ref="A1:B89" xr:uid="{D22E4597-A5CF-462A-8925-0B56580656F0}"/>
  <tableColumns count="2">
    <tableColumn id="1" xr3:uid="{9FFA2172-B1D8-4B97-9BBE-AD146510C38A}" name="Sales_oder" dataDxfId="38"/>
    <tableColumn id="2" xr3:uid="{7A43DD77-2B10-479B-9DC6-A466B03AFB53}" name="Ord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12A1-1324-4D6B-BE4F-3B73905A43AE}">
  <dimension ref="A1:V89"/>
  <sheetViews>
    <sheetView topLeftCell="H1" workbookViewId="0">
      <selection activeCell="N80" sqref="N80"/>
    </sheetView>
  </sheetViews>
  <sheetFormatPr defaultRowHeight="14.4" x14ac:dyDescent="0.3"/>
  <cols>
    <col min="1" max="1" width="15.109375" customWidth="1"/>
    <col min="2" max="2" width="10.6640625" bestFit="1" customWidth="1"/>
    <col min="4" max="4" width="10.109375" bestFit="1" customWidth="1"/>
    <col min="6" max="6" width="10" customWidth="1"/>
    <col min="7" max="7" width="19.5546875" customWidth="1"/>
    <col min="8" max="8" width="9.44140625" customWidth="1"/>
    <col min="9" max="9" width="15.5546875" style="12" customWidth="1"/>
    <col min="10" max="10" width="14" style="12" customWidth="1"/>
    <col min="11" max="11" width="19.6640625" style="18" customWidth="1"/>
    <col min="12" max="12" width="17.6640625" style="15" customWidth="1"/>
    <col min="13" max="13" width="16.5546875" style="15" customWidth="1"/>
    <col min="14" max="14" width="27.5546875" style="15" customWidth="1"/>
    <col min="15" max="15" width="12.109375" style="15" customWidth="1"/>
    <col min="16" max="16" width="9.109375" style="15" customWidth="1"/>
    <col min="17" max="17" width="10.33203125" customWidth="1"/>
    <col min="18" max="18" width="10" customWidth="1"/>
    <col min="19" max="19" width="11.88671875" customWidth="1"/>
    <col min="20" max="21" width="9.88671875" bestFit="1" customWidth="1"/>
    <col min="22" max="22" width="10.88671875" bestFit="1" customWidth="1"/>
  </cols>
  <sheetData>
    <row r="1" spans="1:22" s="10" customFormat="1" ht="97.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3" t="s">
        <v>173</v>
      </c>
      <c r="H1" s="10" t="s">
        <v>7</v>
      </c>
      <c r="I1" s="11" t="s">
        <v>8</v>
      </c>
      <c r="J1" s="11" t="s">
        <v>170</v>
      </c>
      <c r="K1" s="17" t="s">
        <v>9</v>
      </c>
      <c r="L1" s="14" t="s">
        <v>10</v>
      </c>
      <c r="M1" s="14" t="s">
        <v>11</v>
      </c>
      <c r="N1" s="20" t="s">
        <v>168</v>
      </c>
      <c r="O1" s="20" t="s">
        <v>166</v>
      </c>
      <c r="P1" s="20" t="s">
        <v>167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</row>
    <row r="2" spans="1:22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171</v>
      </c>
      <c r="I2" s="12" t="s">
        <v>29</v>
      </c>
      <c r="J2" s="12">
        <f>LEN(I2)</f>
        <v>14</v>
      </c>
      <c r="K2" s="18" t="s">
        <v>24</v>
      </c>
      <c r="L2" s="15" t="s">
        <v>25</v>
      </c>
      <c r="M2" s="15" t="s">
        <v>26</v>
      </c>
      <c r="N2" s="21" t="s">
        <v>160</v>
      </c>
      <c r="O2" s="21" t="s">
        <v>161</v>
      </c>
      <c r="P2" s="21">
        <v>46</v>
      </c>
      <c r="Q2">
        <v>4</v>
      </c>
      <c r="R2" s="2">
        <v>1252</v>
      </c>
      <c r="S2" s="2">
        <v>2295</v>
      </c>
      <c r="T2" s="2">
        <v>4172</v>
      </c>
      <c r="U2" s="2">
        <f>Q2*R2</f>
        <v>5008</v>
      </c>
      <c r="V2" s="2">
        <f>Q2*S2</f>
        <v>9180</v>
      </c>
    </row>
    <row r="3" spans="1:22" x14ac:dyDescent="0.3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172</v>
      </c>
      <c r="I3" s="12" t="s">
        <v>23</v>
      </c>
      <c r="J3" s="12">
        <f t="shared" ref="J3:J66" si="0">LEN(I3)</f>
        <v>13</v>
      </c>
      <c r="K3" s="18" t="s">
        <v>30</v>
      </c>
      <c r="L3" s="15" t="s">
        <v>25</v>
      </c>
      <c r="M3" s="15" t="s">
        <v>26</v>
      </c>
      <c r="N3" s="21" t="s">
        <v>160</v>
      </c>
      <c r="O3" s="21" t="s">
        <v>162</v>
      </c>
      <c r="P3" s="21">
        <v>42</v>
      </c>
      <c r="Q3">
        <v>1</v>
      </c>
      <c r="R3" s="2">
        <v>1266</v>
      </c>
      <c r="S3" s="2">
        <v>2320</v>
      </c>
      <c r="T3" s="2">
        <v>1054</v>
      </c>
      <c r="U3" s="2">
        <f t="shared" ref="U3:U66" si="1">Q3*R3</f>
        <v>1266</v>
      </c>
      <c r="V3" s="2">
        <f t="shared" ref="V3:V66" si="2">Q3*S3</f>
        <v>2320</v>
      </c>
    </row>
    <row r="4" spans="1:22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172</v>
      </c>
      <c r="I4" s="12" t="s">
        <v>37</v>
      </c>
      <c r="J4" s="12">
        <f t="shared" si="0"/>
        <v>9</v>
      </c>
      <c r="K4" s="18" t="s">
        <v>24</v>
      </c>
      <c r="L4" s="15" t="s">
        <v>25</v>
      </c>
      <c r="M4" s="15" t="s">
        <v>26</v>
      </c>
      <c r="N4" s="21" t="s">
        <v>163</v>
      </c>
      <c r="O4" s="21" t="s">
        <v>162</v>
      </c>
      <c r="P4" s="21">
        <v>46</v>
      </c>
      <c r="Q4">
        <v>2</v>
      </c>
      <c r="R4" s="2">
        <v>420</v>
      </c>
      <c r="S4" s="2">
        <v>769</v>
      </c>
      <c r="T4" s="2">
        <v>698</v>
      </c>
      <c r="U4" s="2">
        <f t="shared" si="1"/>
        <v>840</v>
      </c>
      <c r="V4" s="2">
        <f t="shared" si="2"/>
        <v>1538</v>
      </c>
    </row>
    <row r="5" spans="1:22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171</v>
      </c>
      <c r="I5" s="12" t="s">
        <v>23</v>
      </c>
      <c r="J5" s="12">
        <f t="shared" si="0"/>
        <v>13</v>
      </c>
      <c r="K5" s="18" t="s">
        <v>38</v>
      </c>
      <c r="L5" s="15" t="s">
        <v>25</v>
      </c>
      <c r="M5" s="15" t="s">
        <v>26</v>
      </c>
      <c r="N5" s="21" t="s">
        <v>163</v>
      </c>
      <c r="O5" s="21" t="s">
        <v>162</v>
      </c>
      <c r="P5" s="21">
        <v>42</v>
      </c>
      <c r="Q5">
        <v>1</v>
      </c>
      <c r="R5" s="2">
        <v>420</v>
      </c>
      <c r="S5" s="2">
        <v>769</v>
      </c>
      <c r="T5" s="2">
        <v>349</v>
      </c>
      <c r="U5" s="2">
        <f t="shared" si="1"/>
        <v>420</v>
      </c>
      <c r="V5" s="2">
        <f t="shared" si="2"/>
        <v>769</v>
      </c>
    </row>
    <row r="6" spans="1:22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171</v>
      </c>
      <c r="I6" s="12" t="s">
        <v>29</v>
      </c>
      <c r="J6" s="12">
        <f t="shared" si="0"/>
        <v>14</v>
      </c>
      <c r="K6" s="18" t="s">
        <v>24</v>
      </c>
      <c r="L6" s="15" t="s">
        <v>25</v>
      </c>
      <c r="M6" s="15" t="s">
        <v>26</v>
      </c>
      <c r="N6" s="21" t="s">
        <v>160</v>
      </c>
      <c r="O6" s="21" t="s">
        <v>161</v>
      </c>
      <c r="P6" s="21">
        <v>46</v>
      </c>
      <c r="Q6">
        <v>2</v>
      </c>
      <c r="R6" s="2">
        <v>1252</v>
      </c>
      <c r="S6" s="2">
        <v>2295</v>
      </c>
      <c r="T6" s="2">
        <v>2086</v>
      </c>
      <c r="U6" s="2">
        <f t="shared" si="1"/>
        <v>2504</v>
      </c>
      <c r="V6" s="2">
        <f t="shared" si="2"/>
        <v>4590</v>
      </c>
    </row>
    <row r="7" spans="1:22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171</v>
      </c>
      <c r="I7" s="12" t="s">
        <v>23</v>
      </c>
      <c r="J7" s="12">
        <f t="shared" si="0"/>
        <v>13</v>
      </c>
      <c r="K7" s="18" t="s">
        <v>30</v>
      </c>
      <c r="L7" s="15" t="s">
        <v>25</v>
      </c>
      <c r="M7" s="15" t="s">
        <v>26</v>
      </c>
      <c r="N7" s="21" t="s">
        <v>160</v>
      </c>
      <c r="O7" s="21" t="s">
        <v>161</v>
      </c>
      <c r="P7" s="21">
        <v>38</v>
      </c>
      <c r="Q7">
        <v>1</v>
      </c>
      <c r="R7" s="2">
        <v>1252</v>
      </c>
      <c r="S7" s="2">
        <v>2295</v>
      </c>
      <c r="T7" s="2">
        <v>1043</v>
      </c>
      <c r="U7" s="2">
        <f t="shared" si="1"/>
        <v>1252</v>
      </c>
      <c r="V7" s="2">
        <f t="shared" si="2"/>
        <v>2295</v>
      </c>
    </row>
    <row r="8" spans="1:22" s="5" customFormat="1" x14ac:dyDescent="0.3">
      <c r="A8" s="7" t="s">
        <v>45</v>
      </c>
      <c r="B8" s="8">
        <v>44533</v>
      </c>
      <c r="C8" s="5">
        <v>3</v>
      </c>
      <c r="D8" s="5" t="s">
        <v>20</v>
      </c>
      <c r="E8" s="5">
        <v>2021</v>
      </c>
      <c r="F8" s="5">
        <v>37</v>
      </c>
      <c r="G8" t="s">
        <v>21</v>
      </c>
      <c r="H8" s="5" t="s">
        <v>172</v>
      </c>
      <c r="I8" s="13" t="s">
        <v>37</v>
      </c>
      <c r="J8" s="12">
        <f t="shared" si="0"/>
        <v>9</v>
      </c>
      <c r="K8" s="19" t="s">
        <v>47</v>
      </c>
      <c r="L8" s="16" t="s">
        <v>25</v>
      </c>
      <c r="M8" s="16" t="s">
        <v>26</v>
      </c>
      <c r="N8" s="22" t="s">
        <v>160</v>
      </c>
      <c r="O8" s="22" t="s">
        <v>161</v>
      </c>
      <c r="P8" s="22">
        <v>46</v>
      </c>
      <c r="Q8" s="5">
        <v>1</v>
      </c>
      <c r="R8" s="6">
        <v>1252</v>
      </c>
      <c r="S8" s="6">
        <v>2295</v>
      </c>
      <c r="T8" s="6">
        <v>1043</v>
      </c>
      <c r="U8" s="6">
        <f t="shared" si="1"/>
        <v>1252</v>
      </c>
      <c r="V8" s="6">
        <f t="shared" si="2"/>
        <v>2295</v>
      </c>
    </row>
    <row r="9" spans="1:22" x14ac:dyDescent="0.3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171</v>
      </c>
      <c r="I9" s="12" t="s">
        <v>23</v>
      </c>
      <c r="J9" s="12">
        <f t="shared" si="0"/>
        <v>13</v>
      </c>
      <c r="K9" s="18" t="s">
        <v>38</v>
      </c>
      <c r="L9" s="15" t="s">
        <v>25</v>
      </c>
      <c r="M9" s="15" t="s">
        <v>26</v>
      </c>
      <c r="N9" s="21" t="s">
        <v>163</v>
      </c>
      <c r="O9" s="21" t="s">
        <v>162</v>
      </c>
      <c r="P9" s="21">
        <v>42</v>
      </c>
      <c r="Q9">
        <v>4</v>
      </c>
      <c r="R9" s="2">
        <v>420</v>
      </c>
      <c r="S9" s="2">
        <v>769</v>
      </c>
      <c r="T9" s="2">
        <v>1396</v>
      </c>
      <c r="U9" s="2">
        <f t="shared" si="1"/>
        <v>1680</v>
      </c>
      <c r="V9" s="2">
        <f t="shared" si="2"/>
        <v>3076</v>
      </c>
    </row>
    <row r="10" spans="1:22" x14ac:dyDescent="0.3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171</v>
      </c>
      <c r="I10" s="12" t="s">
        <v>51</v>
      </c>
      <c r="J10" s="12">
        <f t="shared" si="0"/>
        <v>7</v>
      </c>
      <c r="K10" s="18" t="s">
        <v>24</v>
      </c>
      <c r="L10" s="15" t="s">
        <v>25</v>
      </c>
      <c r="M10" s="15" t="s">
        <v>26</v>
      </c>
      <c r="N10" s="21" t="s">
        <v>160</v>
      </c>
      <c r="O10" s="21" t="s">
        <v>161</v>
      </c>
      <c r="P10" s="21">
        <v>46</v>
      </c>
      <c r="Q10">
        <v>4</v>
      </c>
      <c r="R10" s="2">
        <v>1252</v>
      </c>
      <c r="S10" s="2">
        <v>2295</v>
      </c>
      <c r="T10" s="2">
        <v>4172</v>
      </c>
      <c r="U10" s="2">
        <f t="shared" si="1"/>
        <v>5008</v>
      </c>
      <c r="V10" s="2">
        <f t="shared" si="2"/>
        <v>9180</v>
      </c>
    </row>
    <row r="11" spans="1:22" x14ac:dyDescent="0.3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172</v>
      </c>
      <c r="I11" s="12" t="s">
        <v>37</v>
      </c>
      <c r="J11" s="12">
        <f t="shared" si="0"/>
        <v>9</v>
      </c>
      <c r="K11" s="18" t="s">
        <v>52</v>
      </c>
      <c r="L11" s="15" t="s">
        <v>25</v>
      </c>
      <c r="M11" s="15" t="s">
        <v>26</v>
      </c>
      <c r="N11" s="21" t="s">
        <v>160</v>
      </c>
      <c r="O11" s="21" t="s">
        <v>161</v>
      </c>
      <c r="P11" s="21">
        <v>38</v>
      </c>
      <c r="Q11">
        <v>4</v>
      </c>
      <c r="R11" s="2">
        <v>1252</v>
      </c>
      <c r="S11" s="2">
        <v>2295</v>
      </c>
      <c r="T11" s="2">
        <v>4172</v>
      </c>
      <c r="U11" s="2">
        <f t="shared" si="1"/>
        <v>5008</v>
      </c>
      <c r="V11" s="2">
        <f t="shared" si="2"/>
        <v>9180</v>
      </c>
    </row>
    <row r="12" spans="1:22" x14ac:dyDescent="0.3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171</v>
      </c>
      <c r="I12" s="12" t="s">
        <v>23</v>
      </c>
      <c r="J12" s="12">
        <f t="shared" si="0"/>
        <v>13</v>
      </c>
      <c r="K12" s="18" t="s">
        <v>54</v>
      </c>
      <c r="L12" s="15" t="s">
        <v>25</v>
      </c>
      <c r="M12" s="15" t="s">
        <v>26</v>
      </c>
      <c r="N12" s="21" t="s">
        <v>160</v>
      </c>
      <c r="O12" s="21" t="s">
        <v>162</v>
      </c>
      <c r="P12" s="21">
        <v>38</v>
      </c>
      <c r="Q12">
        <v>1</v>
      </c>
      <c r="R12" s="2">
        <v>1266</v>
      </c>
      <c r="S12" s="2">
        <v>2320</v>
      </c>
      <c r="T12" s="2">
        <v>1054</v>
      </c>
      <c r="U12" s="2">
        <f t="shared" si="1"/>
        <v>1266</v>
      </c>
      <c r="V12" s="2">
        <f t="shared" si="2"/>
        <v>2320</v>
      </c>
    </row>
    <row r="13" spans="1:22" x14ac:dyDescent="0.3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171</v>
      </c>
      <c r="I13" s="12" t="s">
        <v>29</v>
      </c>
      <c r="J13" s="12">
        <f t="shared" si="0"/>
        <v>14</v>
      </c>
      <c r="K13" s="18" t="s">
        <v>24</v>
      </c>
      <c r="L13" s="15" t="s">
        <v>25</v>
      </c>
      <c r="M13" s="15" t="s">
        <v>26</v>
      </c>
      <c r="N13" s="21" t="s">
        <v>160</v>
      </c>
      <c r="O13" s="21" t="s">
        <v>161</v>
      </c>
      <c r="P13" s="21">
        <v>46</v>
      </c>
      <c r="Q13">
        <v>1</v>
      </c>
      <c r="R13" s="2">
        <v>1252</v>
      </c>
      <c r="S13" s="2">
        <v>2295</v>
      </c>
      <c r="T13" s="2">
        <v>1043</v>
      </c>
      <c r="U13" s="2">
        <f t="shared" si="1"/>
        <v>1252</v>
      </c>
      <c r="V13" s="2">
        <f t="shared" si="2"/>
        <v>2295</v>
      </c>
    </row>
    <row r="14" spans="1:22" x14ac:dyDescent="0.3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172</v>
      </c>
      <c r="I14" s="12" t="s">
        <v>59</v>
      </c>
      <c r="J14" s="12">
        <f t="shared" si="0"/>
        <v>6</v>
      </c>
      <c r="K14" s="18" t="s">
        <v>30</v>
      </c>
      <c r="L14" s="15" t="s">
        <v>25</v>
      </c>
      <c r="M14" s="15" t="s">
        <v>26</v>
      </c>
      <c r="N14" s="21" t="s">
        <v>163</v>
      </c>
      <c r="O14" s="21" t="s">
        <v>162</v>
      </c>
      <c r="P14" s="21">
        <v>46</v>
      </c>
      <c r="Q14">
        <v>3</v>
      </c>
      <c r="R14" s="2">
        <v>420</v>
      </c>
      <c r="S14" s="2">
        <v>769</v>
      </c>
      <c r="T14" s="2">
        <v>1047</v>
      </c>
      <c r="U14" s="2">
        <f t="shared" si="1"/>
        <v>1260</v>
      </c>
      <c r="V14" s="2">
        <f t="shared" si="2"/>
        <v>2307</v>
      </c>
    </row>
    <row r="15" spans="1:22" x14ac:dyDescent="0.3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172</v>
      </c>
      <c r="I15" s="12" t="s">
        <v>37</v>
      </c>
      <c r="J15" s="12">
        <f t="shared" si="0"/>
        <v>9</v>
      </c>
      <c r="K15" s="18" t="s">
        <v>60</v>
      </c>
      <c r="L15" s="15" t="s">
        <v>25</v>
      </c>
      <c r="M15" s="15" t="s">
        <v>26</v>
      </c>
      <c r="N15" s="21" t="s">
        <v>160</v>
      </c>
      <c r="O15" s="21" t="s">
        <v>161</v>
      </c>
      <c r="P15" s="21">
        <v>46</v>
      </c>
      <c r="Q15">
        <v>1</v>
      </c>
      <c r="R15" s="2">
        <v>1252</v>
      </c>
      <c r="S15" s="2">
        <v>2295</v>
      </c>
      <c r="T15" s="2">
        <v>1043</v>
      </c>
      <c r="U15" s="2">
        <f t="shared" si="1"/>
        <v>1252</v>
      </c>
      <c r="V15" s="2">
        <f t="shared" si="2"/>
        <v>2295</v>
      </c>
    </row>
    <row r="16" spans="1:22" x14ac:dyDescent="0.3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169</v>
      </c>
      <c r="H16" t="s">
        <v>172</v>
      </c>
      <c r="I16" s="12" t="s">
        <v>29</v>
      </c>
      <c r="J16" s="12">
        <f t="shared" si="0"/>
        <v>14</v>
      </c>
      <c r="K16" s="18" t="s">
        <v>38</v>
      </c>
      <c r="L16" s="15" t="s">
        <v>25</v>
      </c>
      <c r="M16" s="15" t="s">
        <v>26</v>
      </c>
      <c r="N16" s="21" t="s">
        <v>160</v>
      </c>
      <c r="O16" s="21" t="s">
        <v>161</v>
      </c>
      <c r="P16" s="21">
        <v>42</v>
      </c>
      <c r="Q16">
        <v>1</v>
      </c>
      <c r="R16" s="2">
        <v>1252</v>
      </c>
      <c r="S16" s="2">
        <v>2295</v>
      </c>
      <c r="T16" s="2">
        <v>1043</v>
      </c>
      <c r="U16" s="2">
        <f t="shared" si="1"/>
        <v>1252</v>
      </c>
      <c r="V16" s="2">
        <f t="shared" si="2"/>
        <v>2295</v>
      </c>
    </row>
    <row r="17" spans="1:22" x14ac:dyDescent="0.3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172</v>
      </c>
      <c r="I17" s="12" t="s">
        <v>23</v>
      </c>
      <c r="J17" s="12">
        <f t="shared" si="0"/>
        <v>13</v>
      </c>
      <c r="K17" s="18" t="s">
        <v>30</v>
      </c>
      <c r="L17" s="15" t="s">
        <v>25</v>
      </c>
      <c r="M17" s="15" t="s">
        <v>26</v>
      </c>
      <c r="N17" s="21" t="s">
        <v>160</v>
      </c>
      <c r="O17" s="21" t="s">
        <v>162</v>
      </c>
      <c r="P17" s="21">
        <v>38</v>
      </c>
      <c r="Q17">
        <v>1</v>
      </c>
      <c r="R17" s="2">
        <v>1266</v>
      </c>
      <c r="S17" s="2">
        <v>2320</v>
      </c>
      <c r="T17" s="2">
        <v>1054</v>
      </c>
      <c r="U17" s="2">
        <f t="shared" si="1"/>
        <v>1266</v>
      </c>
      <c r="V17" s="2">
        <f t="shared" si="2"/>
        <v>2320</v>
      </c>
    </row>
    <row r="18" spans="1:22" x14ac:dyDescent="0.3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172</v>
      </c>
      <c r="I18" s="12" t="s">
        <v>23</v>
      </c>
      <c r="J18" s="12">
        <f t="shared" si="0"/>
        <v>13</v>
      </c>
      <c r="K18" s="18" t="s">
        <v>24</v>
      </c>
      <c r="L18" s="15" t="s">
        <v>25</v>
      </c>
      <c r="M18" s="15" t="s">
        <v>26</v>
      </c>
      <c r="N18" s="21" t="s">
        <v>163</v>
      </c>
      <c r="O18" s="21" t="s">
        <v>162</v>
      </c>
      <c r="P18" s="21">
        <v>38</v>
      </c>
      <c r="Q18">
        <v>4</v>
      </c>
      <c r="R18" s="2">
        <v>420</v>
      </c>
      <c r="S18" s="2">
        <v>769</v>
      </c>
      <c r="T18" s="2">
        <v>1396</v>
      </c>
      <c r="U18" s="2">
        <f t="shared" si="1"/>
        <v>1680</v>
      </c>
      <c r="V18" s="2">
        <f t="shared" si="2"/>
        <v>3076</v>
      </c>
    </row>
    <row r="19" spans="1:22" x14ac:dyDescent="0.3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172</v>
      </c>
      <c r="I19" s="12" t="s">
        <v>37</v>
      </c>
      <c r="J19" s="12">
        <f t="shared" si="0"/>
        <v>9</v>
      </c>
      <c r="K19" s="18" t="s">
        <v>24</v>
      </c>
      <c r="L19" s="15" t="s">
        <v>25</v>
      </c>
      <c r="M19" s="15" t="s">
        <v>26</v>
      </c>
      <c r="N19" s="21" t="s">
        <v>160</v>
      </c>
      <c r="O19" s="21" t="s">
        <v>162</v>
      </c>
      <c r="P19" s="21">
        <v>42</v>
      </c>
      <c r="Q19">
        <v>2</v>
      </c>
      <c r="R19" s="2">
        <v>1266</v>
      </c>
      <c r="S19" s="2">
        <v>2320</v>
      </c>
      <c r="T19" s="2">
        <v>2108</v>
      </c>
      <c r="U19" s="2">
        <f t="shared" si="1"/>
        <v>2532</v>
      </c>
      <c r="V19" s="2">
        <f t="shared" si="2"/>
        <v>4640</v>
      </c>
    </row>
    <row r="20" spans="1:22" x14ac:dyDescent="0.3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171</v>
      </c>
      <c r="I20" s="12" t="s">
        <v>59</v>
      </c>
      <c r="J20" s="12">
        <f t="shared" si="0"/>
        <v>6</v>
      </c>
      <c r="K20" s="18" t="s">
        <v>38</v>
      </c>
      <c r="L20" s="15" t="s">
        <v>25</v>
      </c>
      <c r="M20" s="15" t="s">
        <v>26</v>
      </c>
      <c r="N20" s="21" t="s">
        <v>164</v>
      </c>
      <c r="O20" s="21" t="s">
        <v>162</v>
      </c>
      <c r="P20" s="21">
        <v>42</v>
      </c>
      <c r="Q20">
        <v>4</v>
      </c>
      <c r="R20" s="2">
        <v>308</v>
      </c>
      <c r="S20" s="2">
        <v>565</v>
      </c>
      <c r="T20" s="2">
        <v>1028</v>
      </c>
      <c r="U20" s="2">
        <f t="shared" si="1"/>
        <v>1232</v>
      </c>
      <c r="V20" s="2">
        <f t="shared" si="2"/>
        <v>2260</v>
      </c>
    </row>
    <row r="21" spans="1:22" x14ac:dyDescent="0.3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171</v>
      </c>
      <c r="I21" s="12" t="s">
        <v>23</v>
      </c>
      <c r="J21" s="12">
        <f t="shared" si="0"/>
        <v>13</v>
      </c>
      <c r="K21" s="18" t="s">
        <v>60</v>
      </c>
      <c r="L21" s="15" t="s">
        <v>25</v>
      </c>
      <c r="M21" s="15" t="s">
        <v>26</v>
      </c>
      <c r="N21" s="21" t="s">
        <v>160</v>
      </c>
      <c r="O21" s="21" t="s">
        <v>162</v>
      </c>
      <c r="P21" s="21">
        <v>38</v>
      </c>
      <c r="Q21">
        <v>4</v>
      </c>
      <c r="R21" s="2">
        <v>1266</v>
      </c>
      <c r="S21" s="2">
        <v>2320</v>
      </c>
      <c r="T21" s="2">
        <v>4216</v>
      </c>
      <c r="U21" s="2">
        <f t="shared" si="1"/>
        <v>5064</v>
      </c>
      <c r="V21" s="2">
        <f t="shared" si="2"/>
        <v>9280</v>
      </c>
    </row>
    <row r="22" spans="1:22" x14ac:dyDescent="0.3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171</v>
      </c>
      <c r="I22" s="12" t="s">
        <v>23</v>
      </c>
      <c r="J22" s="12">
        <f t="shared" si="0"/>
        <v>13</v>
      </c>
      <c r="K22" s="18" t="s">
        <v>72</v>
      </c>
      <c r="L22" s="15" t="s">
        <v>25</v>
      </c>
      <c r="M22" s="15" t="s">
        <v>26</v>
      </c>
      <c r="N22" s="21" t="s">
        <v>160</v>
      </c>
      <c r="O22" s="21" t="s">
        <v>161</v>
      </c>
      <c r="P22" s="21">
        <v>42</v>
      </c>
      <c r="Q22">
        <v>2</v>
      </c>
      <c r="R22" s="2">
        <v>1252</v>
      </c>
      <c r="S22" s="2">
        <v>2295</v>
      </c>
      <c r="T22" s="2">
        <v>2086</v>
      </c>
      <c r="U22" s="2">
        <f t="shared" si="1"/>
        <v>2504</v>
      </c>
      <c r="V22" s="2">
        <f t="shared" si="2"/>
        <v>4590</v>
      </c>
    </row>
    <row r="23" spans="1:22" x14ac:dyDescent="0.3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171</v>
      </c>
      <c r="I23" s="12" t="s">
        <v>37</v>
      </c>
      <c r="J23" s="12">
        <f t="shared" si="0"/>
        <v>9</v>
      </c>
      <c r="K23" s="18" t="s">
        <v>24</v>
      </c>
      <c r="L23" s="15" t="s">
        <v>25</v>
      </c>
      <c r="M23" s="15" t="s">
        <v>26</v>
      </c>
      <c r="N23" s="21" t="s">
        <v>164</v>
      </c>
      <c r="O23" s="21" t="s">
        <v>161</v>
      </c>
      <c r="P23" s="21">
        <v>42</v>
      </c>
      <c r="Q23">
        <v>4</v>
      </c>
      <c r="R23" s="2">
        <v>295</v>
      </c>
      <c r="S23" s="2">
        <v>540</v>
      </c>
      <c r="T23" s="2">
        <v>245</v>
      </c>
      <c r="U23" s="2">
        <f t="shared" si="1"/>
        <v>1180</v>
      </c>
      <c r="V23" s="2">
        <f t="shared" si="2"/>
        <v>2160</v>
      </c>
    </row>
    <row r="24" spans="1:22" x14ac:dyDescent="0.3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171</v>
      </c>
      <c r="I24" s="12" t="s">
        <v>51</v>
      </c>
      <c r="J24" s="12">
        <f t="shared" si="0"/>
        <v>7</v>
      </c>
      <c r="K24" s="18" t="s">
        <v>76</v>
      </c>
      <c r="L24" s="15" t="s">
        <v>25</v>
      </c>
      <c r="M24" s="15" t="s">
        <v>26</v>
      </c>
      <c r="N24" s="21" t="s">
        <v>165</v>
      </c>
      <c r="O24" s="21" t="s">
        <v>161</v>
      </c>
      <c r="P24" s="21">
        <v>38</v>
      </c>
      <c r="Q24">
        <v>2</v>
      </c>
      <c r="R24" s="2">
        <v>1898</v>
      </c>
      <c r="S24" s="2">
        <v>3375</v>
      </c>
      <c r="T24" s="2">
        <v>2954</v>
      </c>
      <c r="U24" s="2">
        <f t="shared" si="1"/>
        <v>3796</v>
      </c>
      <c r="V24" s="2">
        <f t="shared" si="2"/>
        <v>6750</v>
      </c>
    </row>
    <row r="25" spans="1:22" x14ac:dyDescent="0.3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171</v>
      </c>
      <c r="I25" s="12" t="s">
        <v>23</v>
      </c>
      <c r="J25" s="12">
        <f t="shared" si="0"/>
        <v>13</v>
      </c>
      <c r="K25" s="18" t="s">
        <v>79</v>
      </c>
      <c r="L25" s="15" t="s">
        <v>25</v>
      </c>
      <c r="M25" s="15" t="s">
        <v>26</v>
      </c>
      <c r="N25" s="21" t="s">
        <v>160</v>
      </c>
      <c r="O25" s="21" t="s">
        <v>162</v>
      </c>
      <c r="P25" s="21">
        <v>42</v>
      </c>
      <c r="Q25">
        <v>1</v>
      </c>
      <c r="R25" s="2">
        <v>1266</v>
      </c>
      <c r="S25" s="2">
        <v>2320</v>
      </c>
      <c r="T25" s="2">
        <v>1054</v>
      </c>
      <c r="U25" s="2">
        <f t="shared" si="1"/>
        <v>1266</v>
      </c>
      <c r="V25" s="2">
        <f t="shared" si="2"/>
        <v>2320</v>
      </c>
    </row>
    <row r="26" spans="1:22" x14ac:dyDescent="0.3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171</v>
      </c>
      <c r="I26" s="12" t="s">
        <v>37</v>
      </c>
      <c r="J26" s="12">
        <f t="shared" si="0"/>
        <v>9</v>
      </c>
      <c r="K26" s="18" t="s">
        <v>24</v>
      </c>
      <c r="L26" s="15" t="s">
        <v>25</v>
      </c>
      <c r="M26" s="15" t="s">
        <v>26</v>
      </c>
      <c r="N26" s="21" t="s">
        <v>160</v>
      </c>
      <c r="O26" s="21" t="s">
        <v>161</v>
      </c>
      <c r="P26" s="21">
        <v>42</v>
      </c>
      <c r="Q26">
        <v>2</v>
      </c>
      <c r="R26" s="2">
        <v>1252</v>
      </c>
      <c r="S26" s="2">
        <v>2295</v>
      </c>
      <c r="T26" s="2">
        <v>2086</v>
      </c>
      <c r="U26" s="2">
        <f t="shared" si="1"/>
        <v>2504</v>
      </c>
      <c r="V26" s="2">
        <f t="shared" si="2"/>
        <v>4590</v>
      </c>
    </row>
    <row r="27" spans="1:22" x14ac:dyDescent="0.3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172</v>
      </c>
      <c r="I27" s="12" t="s">
        <v>29</v>
      </c>
      <c r="J27" s="12">
        <f t="shared" si="0"/>
        <v>14</v>
      </c>
      <c r="K27" s="18" t="s">
        <v>38</v>
      </c>
      <c r="L27" s="15" t="s">
        <v>25</v>
      </c>
      <c r="M27" s="15" t="s">
        <v>26</v>
      </c>
      <c r="N27" s="21" t="s">
        <v>160</v>
      </c>
      <c r="O27" s="21" t="s">
        <v>161</v>
      </c>
      <c r="P27" s="21">
        <v>42</v>
      </c>
      <c r="Q27">
        <v>2</v>
      </c>
      <c r="R27" s="2">
        <v>1252</v>
      </c>
      <c r="S27" s="2">
        <v>2295</v>
      </c>
      <c r="T27" s="2">
        <v>2086</v>
      </c>
      <c r="U27" s="2">
        <f t="shared" si="1"/>
        <v>2504</v>
      </c>
      <c r="V27" s="2">
        <f t="shared" si="2"/>
        <v>4590</v>
      </c>
    </row>
    <row r="28" spans="1:22" x14ac:dyDescent="0.3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172</v>
      </c>
      <c r="I28" s="12" t="s">
        <v>23</v>
      </c>
      <c r="J28" s="12">
        <f t="shared" si="0"/>
        <v>13</v>
      </c>
      <c r="K28" s="18" t="s">
        <v>30</v>
      </c>
      <c r="L28" s="15" t="s">
        <v>25</v>
      </c>
      <c r="M28" s="15" t="s">
        <v>26</v>
      </c>
      <c r="N28" s="21" t="s">
        <v>160</v>
      </c>
      <c r="O28" s="21" t="s">
        <v>161</v>
      </c>
      <c r="P28" s="21">
        <v>38</v>
      </c>
      <c r="Q28">
        <v>1</v>
      </c>
      <c r="R28" s="2">
        <v>1252</v>
      </c>
      <c r="S28" s="2">
        <v>2295</v>
      </c>
      <c r="T28" s="2">
        <v>1043</v>
      </c>
      <c r="U28" s="2">
        <f t="shared" si="1"/>
        <v>1252</v>
      </c>
      <c r="V28" s="2">
        <f t="shared" si="2"/>
        <v>2295</v>
      </c>
    </row>
    <row r="29" spans="1:22" x14ac:dyDescent="0.3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172</v>
      </c>
      <c r="I29" s="12" t="s">
        <v>23</v>
      </c>
      <c r="J29" s="12">
        <f t="shared" si="0"/>
        <v>13</v>
      </c>
      <c r="K29" s="18" t="s">
        <v>24</v>
      </c>
      <c r="L29" s="15" t="s">
        <v>25</v>
      </c>
      <c r="M29" s="15" t="s">
        <v>26</v>
      </c>
      <c r="N29" s="21" t="s">
        <v>164</v>
      </c>
      <c r="O29" s="21" t="s">
        <v>161</v>
      </c>
      <c r="P29" s="21">
        <v>40</v>
      </c>
      <c r="Q29">
        <v>1</v>
      </c>
      <c r="R29" s="2">
        <v>295</v>
      </c>
      <c r="S29" s="2">
        <v>540</v>
      </c>
      <c r="T29" s="2">
        <v>245</v>
      </c>
      <c r="U29" s="2">
        <f t="shared" si="1"/>
        <v>295</v>
      </c>
      <c r="V29" s="2">
        <f t="shared" si="2"/>
        <v>540</v>
      </c>
    </row>
    <row r="30" spans="1:22" x14ac:dyDescent="0.3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171</v>
      </c>
      <c r="I30" s="12" t="s">
        <v>37</v>
      </c>
      <c r="J30" s="12">
        <f t="shared" si="0"/>
        <v>9</v>
      </c>
      <c r="K30" s="18" t="s">
        <v>47</v>
      </c>
      <c r="L30" s="15" t="s">
        <v>25</v>
      </c>
      <c r="M30" s="15" t="s">
        <v>26</v>
      </c>
      <c r="N30" s="21" t="s">
        <v>165</v>
      </c>
      <c r="O30" s="21" t="s">
        <v>162</v>
      </c>
      <c r="P30" s="21">
        <v>44</v>
      </c>
      <c r="Q30">
        <v>1</v>
      </c>
      <c r="R30" s="2">
        <v>1912</v>
      </c>
      <c r="S30" s="2">
        <v>3400</v>
      </c>
      <c r="T30" s="2">
        <v>1488</v>
      </c>
      <c r="U30" s="2">
        <f t="shared" si="1"/>
        <v>1912</v>
      </c>
      <c r="V30" s="2">
        <f t="shared" si="2"/>
        <v>3400</v>
      </c>
    </row>
    <row r="31" spans="1:22" x14ac:dyDescent="0.3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172</v>
      </c>
      <c r="I31" s="12" t="s">
        <v>89</v>
      </c>
      <c r="J31" s="12">
        <f t="shared" si="0"/>
        <v>6</v>
      </c>
      <c r="K31" s="18" t="s">
        <v>38</v>
      </c>
      <c r="L31" s="15" t="s">
        <v>25</v>
      </c>
      <c r="M31" s="15" t="s">
        <v>26</v>
      </c>
      <c r="N31" s="21" t="s">
        <v>160</v>
      </c>
      <c r="O31" s="21" t="s">
        <v>161</v>
      </c>
      <c r="P31" s="21">
        <v>38</v>
      </c>
      <c r="Q31">
        <v>1</v>
      </c>
      <c r="R31" s="2">
        <v>1252</v>
      </c>
      <c r="S31" s="2">
        <v>2295</v>
      </c>
      <c r="T31" s="2">
        <v>1043</v>
      </c>
      <c r="U31" s="2">
        <f t="shared" si="1"/>
        <v>1252</v>
      </c>
      <c r="V31" s="2">
        <f t="shared" si="2"/>
        <v>2295</v>
      </c>
    </row>
    <row r="32" spans="1:22" x14ac:dyDescent="0.3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171</v>
      </c>
      <c r="I32" s="12" t="s">
        <v>37</v>
      </c>
      <c r="J32" s="12">
        <f t="shared" si="0"/>
        <v>9</v>
      </c>
      <c r="K32" s="18" t="s">
        <v>90</v>
      </c>
      <c r="L32" s="15" t="s">
        <v>25</v>
      </c>
      <c r="M32" s="15" t="s">
        <v>26</v>
      </c>
      <c r="N32" s="21" t="s">
        <v>160</v>
      </c>
      <c r="O32" s="21" t="s">
        <v>161</v>
      </c>
      <c r="P32" s="21">
        <v>38</v>
      </c>
      <c r="Q32">
        <v>3</v>
      </c>
      <c r="R32" s="2">
        <v>1252</v>
      </c>
      <c r="S32" s="2">
        <v>2295</v>
      </c>
      <c r="T32" s="2">
        <v>3129</v>
      </c>
      <c r="U32" s="2">
        <f t="shared" si="1"/>
        <v>3756</v>
      </c>
      <c r="V32" s="2">
        <f t="shared" si="2"/>
        <v>6885</v>
      </c>
    </row>
    <row r="33" spans="1:22" x14ac:dyDescent="0.3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171</v>
      </c>
      <c r="I33" s="12" t="s">
        <v>59</v>
      </c>
      <c r="J33" s="12">
        <f t="shared" si="0"/>
        <v>6</v>
      </c>
      <c r="K33" s="18" t="s">
        <v>38</v>
      </c>
      <c r="L33" s="15" t="s">
        <v>25</v>
      </c>
      <c r="M33" s="15" t="s">
        <v>26</v>
      </c>
      <c r="N33" s="21" t="s">
        <v>163</v>
      </c>
      <c r="O33" s="21" t="s">
        <v>162</v>
      </c>
      <c r="P33" s="21">
        <v>38</v>
      </c>
      <c r="Q33">
        <v>2</v>
      </c>
      <c r="R33" s="2">
        <v>420</v>
      </c>
      <c r="S33" s="2">
        <v>769</v>
      </c>
      <c r="T33" s="2">
        <v>698</v>
      </c>
      <c r="U33" s="2">
        <f t="shared" si="1"/>
        <v>840</v>
      </c>
      <c r="V33" s="2">
        <f t="shared" si="2"/>
        <v>1538</v>
      </c>
    </row>
    <row r="34" spans="1:22" x14ac:dyDescent="0.3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172</v>
      </c>
      <c r="I34" s="12" t="s">
        <v>23</v>
      </c>
      <c r="J34" s="12">
        <f t="shared" si="0"/>
        <v>13</v>
      </c>
      <c r="K34" s="18" t="s">
        <v>60</v>
      </c>
      <c r="L34" s="15" t="s">
        <v>25</v>
      </c>
      <c r="M34" s="15" t="s">
        <v>26</v>
      </c>
      <c r="N34" s="21" t="s">
        <v>160</v>
      </c>
      <c r="O34" s="21" t="s">
        <v>161</v>
      </c>
      <c r="P34" s="21">
        <v>46</v>
      </c>
      <c r="Q34">
        <v>1</v>
      </c>
      <c r="R34" s="2">
        <v>1252</v>
      </c>
      <c r="S34" s="2">
        <v>2295</v>
      </c>
      <c r="T34" s="2">
        <v>1043</v>
      </c>
      <c r="U34" s="2">
        <f t="shared" si="1"/>
        <v>1252</v>
      </c>
      <c r="V34" s="2">
        <f t="shared" si="2"/>
        <v>2295</v>
      </c>
    </row>
    <row r="35" spans="1:22" x14ac:dyDescent="0.3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172</v>
      </c>
      <c r="I35" s="12" t="s">
        <v>23</v>
      </c>
      <c r="J35" s="12">
        <f t="shared" si="0"/>
        <v>13</v>
      </c>
      <c r="K35" s="18" t="s">
        <v>24</v>
      </c>
      <c r="L35" s="15" t="s">
        <v>25</v>
      </c>
      <c r="M35" s="15" t="s">
        <v>26</v>
      </c>
      <c r="N35" s="21" t="s">
        <v>163</v>
      </c>
      <c r="O35" s="21" t="s">
        <v>162</v>
      </c>
      <c r="P35" s="21">
        <v>46</v>
      </c>
      <c r="Q35">
        <v>1</v>
      </c>
      <c r="R35" s="2">
        <v>420</v>
      </c>
      <c r="S35" s="2">
        <v>769</v>
      </c>
      <c r="T35" s="2">
        <v>349</v>
      </c>
      <c r="U35" s="2">
        <f t="shared" si="1"/>
        <v>420</v>
      </c>
      <c r="V35" s="2">
        <f t="shared" si="2"/>
        <v>769</v>
      </c>
    </row>
    <row r="36" spans="1:22" x14ac:dyDescent="0.3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171</v>
      </c>
      <c r="I36" s="12" t="s">
        <v>37</v>
      </c>
      <c r="J36" s="12">
        <f t="shared" si="0"/>
        <v>9</v>
      </c>
      <c r="K36" s="18" t="s">
        <v>24</v>
      </c>
      <c r="L36" s="15" t="s">
        <v>25</v>
      </c>
      <c r="M36" s="15" t="s">
        <v>26</v>
      </c>
      <c r="N36" s="21" t="s">
        <v>160</v>
      </c>
      <c r="O36" s="21" t="s">
        <v>162</v>
      </c>
      <c r="P36" s="21">
        <v>38</v>
      </c>
      <c r="Q36">
        <v>1</v>
      </c>
      <c r="R36" s="2">
        <v>1266</v>
      </c>
      <c r="S36" s="2">
        <v>2320</v>
      </c>
      <c r="T36" s="2">
        <v>1054</v>
      </c>
      <c r="U36" s="2">
        <f t="shared" si="1"/>
        <v>1266</v>
      </c>
      <c r="V36" s="2">
        <f t="shared" si="2"/>
        <v>2320</v>
      </c>
    </row>
    <row r="37" spans="1:22" x14ac:dyDescent="0.3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171</v>
      </c>
      <c r="I37" s="12" t="s">
        <v>23</v>
      </c>
      <c r="J37" s="12">
        <f t="shared" si="0"/>
        <v>13</v>
      </c>
      <c r="K37" s="18" t="s">
        <v>38</v>
      </c>
      <c r="L37" s="15" t="s">
        <v>25</v>
      </c>
      <c r="M37" s="15" t="s">
        <v>26</v>
      </c>
      <c r="N37" s="21" t="s">
        <v>160</v>
      </c>
      <c r="O37" s="21" t="s">
        <v>162</v>
      </c>
      <c r="P37" s="21">
        <v>42</v>
      </c>
      <c r="Q37">
        <v>4</v>
      </c>
      <c r="R37" s="2">
        <v>1266</v>
      </c>
      <c r="S37" s="2">
        <v>2320</v>
      </c>
      <c r="T37" s="2">
        <v>4216</v>
      </c>
      <c r="U37" s="2">
        <f t="shared" si="1"/>
        <v>5064</v>
      </c>
      <c r="V37" s="2">
        <f t="shared" si="2"/>
        <v>9280</v>
      </c>
    </row>
    <row r="38" spans="1:22" x14ac:dyDescent="0.3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172</v>
      </c>
      <c r="I38" s="12" t="s">
        <v>37</v>
      </c>
      <c r="J38" s="12">
        <f t="shared" si="0"/>
        <v>9</v>
      </c>
      <c r="K38" s="18" t="s">
        <v>24</v>
      </c>
      <c r="L38" s="15" t="s">
        <v>25</v>
      </c>
      <c r="M38" s="15" t="s">
        <v>26</v>
      </c>
      <c r="N38" s="21" t="s">
        <v>163</v>
      </c>
      <c r="O38" s="21" t="s">
        <v>162</v>
      </c>
      <c r="P38" s="21">
        <v>46</v>
      </c>
      <c r="Q38">
        <v>4</v>
      </c>
      <c r="R38" s="2">
        <v>420</v>
      </c>
      <c r="S38" s="2">
        <v>769</v>
      </c>
      <c r="T38" s="2">
        <v>1396</v>
      </c>
      <c r="U38" s="2">
        <f t="shared" si="1"/>
        <v>1680</v>
      </c>
      <c r="V38" s="2">
        <f t="shared" si="2"/>
        <v>3076</v>
      </c>
    </row>
    <row r="39" spans="1:22" x14ac:dyDescent="0.3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172</v>
      </c>
      <c r="I39" s="12" t="s">
        <v>37</v>
      </c>
      <c r="J39" s="12">
        <f t="shared" si="0"/>
        <v>9</v>
      </c>
      <c r="K39" s="18" t="s">
        <v>38</v>
      </c>
      <c r="L39" s="15" t="s">
        <v>25</v>
      </c>
      <c r="M39" s="15" t="s">
        <v>26</v>
      </c>
      <c r="N39" s="21" t="s">
        <v>160</v>
      </c>
      <c r="O39" s="21" t="s">
        <v>161</v>
      </c>
      <c r="P39" s="21">
        <v>38</v>
      </c>
      <c r="Q39">
        <v>2</v>
      </c>
      <c r="R39" s="2">
        <v>1252</v>
      </c>
      <c r="S39" s="2">
        <v>2295</v>
      </c>
      <c r="T39" s="2">
        <v>2086</v>
      </c>
      <c r="U39" s="2">
        <f t="shared" si="1"/>
        <v>2504</v>
      </c>
      <c r="V39" s="2">
        <f t="shared" si="2"/>
        <v>4590</v>
      </c>
    </row>
    <row r="40" spans="1:22" x14ac:dyDescent="0.3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171</v>
      </c>
      <c r="I40" s="12" t="s">
        <v>23</v>
      </c>
      <c r="J40" s="12">
        <f t="shared" si="0"/>
        <v>13</v>
      </c>
      <c r="K40" s="18" t="s">
        <v>76</v>
      </c>
      <c r="L40" s="15" t="s">
        <v>25</v>
      </c>
      <c r="M40" s="15" t="s">
        <v>26</v>
      </c>
      <c r="N40" s="21" t="s">
        <v>160</v>
      </c>
      <c r="O40" s="21" t="s">
        <v>162</v>
      </c>
      <c r="P40" s="21">
        <v>42</v>
      </c>
      <c r="Q40">
        <v>1</v>
      </c>
      <c r="R40" s="2">
        <v>1266</v>
      </c>
      <c r="S40" s="2">
        <v>2320</v>
      </c>
      <c r="T40" s="2">
        <v>1054</v>
      </c>
      <c r="U40" s="2">
        <f t="shared" si="1"/>
        <v>1266</v>
      </c>
      <c r="V40" s="2">
        <f t="shared" si="2"/>
        <v>2320</v>
      </c>
    </row>
    <row r="41" spans="1:22" x14ac:dyDescent="0.3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171</v>
      </c>
      <c r="I41" s="12" t="s">
        <v>37</v>
      </c>
      <c r="J41" s="12">
        <f t="shared" si="0"/>
        <v>9</v>
      </c>
      <c r="K41" s="18" t="s">
        <v>47</v>
      </c>
      <c r="L41" s="15" t="s">
        <v>25</v>
      </c>
      <c r="M41" s="15" t="s">
        <v>26</v>
      </c>
      <c r="N41" s="21" t="s">
        <v>160</v>
      </c>
      <c r="O41" s="21" t="s">
        <v>162</v>
      </c>
      <c r="P41" s="21">
        <v>42</v>
      </c>
      <c r="Q41">
        <v>1</v>
      </c>
      <c r="R41" s="2">
        <v>1266</v>
      </c>
      <c r="S41" s="2">
        <v>2320</v>
      </c>
      <c r="T41" s="2">
        <v>1054</v>
      </c>
      <c r="U41" s="2">
        <f t="shared" si="1"/>
        <v>1266</v>
      </c>
      <c r="V41" s="2">
        <f t="shared" si="2"/>
        <v>2320</v>
      </c>
    </row>
    <row r="42" spans="1:22" x14ac:dyDescent="0.3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171</v>
      </c>
      <c r="I42" s="12" t="s">
        <v>23</v>
      </c>
      <c r="J42" s="12">
        <f t="shared" si="0"/>
        <v>13</v>
      </c>
      <c r="K42" s="18" t="s">
        <v>54</v>
      </c>
      <c r="L42" s="15" t="s">
        <v>25</v>
      </c>
      <c r="M42" s="15" t="s">
        <v>26</v>
      </c>
      <c r="N42" s="21" t="s">
        <v>160</v>
      </c>
      <c r="O42" s="21" t="s">
        <v>162</v>
      </c>
      <c r="P42" s="21">
        <v>42</v>
      </c>
      <c r="Q42">
        <v>3</v>
      </c>
      <c r="R42" s="2">
        <v>1266</v>
      </c>
      <c r="S42" s="2">
        <v>2320</v>
      </c>
      <c r="T42" s="2">
        <v>3162</v>
      </c>
      <c r="U42" s="2">
        <f t="shared" si="1"/>
        <v>3798</v>
      </c>
      <c r="V42" s="2">
        <f t="shared" si="2"/>
        <v>6960</v>
      </c>
    </row>
    <row r="43" spans="1:22" x14ac:dyDescent="0.3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171</v>
      </c>
      <c r="I43" s="12" t="s">
        <v>29</v>
      </c>
      <c r="J43" s="12">
        <f t="shared" si="0"/>
        <v>14</v>
      </c>
      <c r="K43" s="18" t="s">
        <v>24</v>
      </c>
      <c r="L43" s="15" t="s">
        <v>25</v>
      </c>
      <c r="M43" s="15" t="s">
        <v>26</v>
      </c>
      <c r="N43" s="21" t="s">
        <v>164</v>
      </c>
      <c r="O43" s="21" t="s">
        <v>162</v>
      </c>
      <c r="P43" s="21">
        <v>40</v>
      </c>
      <c r="Q43">
        <v>1</v>
      </c>
      <c r="R43" s="2">
        <v>308</v>
      </c>
      <c r="S43" s="2">
        <v>565</v>
      </c>
      <c r="T43" s="2">
        <v>257</v>
      </c>
      <c r="U43" s="2">
        <f t="shared" si="1"/>
        <v>308</v>
      </c>
      <c r="V43" s="2">
        <f t="shared" si="2"/>
        <v>565</v>
      </c>
    </row>
    <row r="44" spans="1:22" x14ac:dyDescent="0.3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171</v>
      </c>
      <c r="I44" s="12" t="s">
        <v>29</v>
      </c>
      <c r="J44" s="12">
        <f t="shared" si="0"/>
        <v>14</v>
      </c>
      <c r="K44" s="18" t="s">
        <v>30</v>
      </c>
      <c r="L44" s="15" t="s">
        <v>25</v>
      </c>
      <c r="M44" s="15" t="s">
        <v>26</v>
      </c>
      <c r="N44" s="21" t="s">
        <v>160</v>
      </c>
      <c r="O44" s="21" t="s">
        <v>161</v>
      </c>
      <c r="P44" s="21">
        <v>38</v>
      </c>
      <c r="Q44">
        <v>1</v>
      </c>
      <c r="R44" s="2">
        <v>1252</v>
      </c>
      <c r="S44" s="2">
        <v>2295</v>
      </c>
      <c r="T44" s="2">
        <v>1043</v>
      </c>
      <c r="U44" s="2">
        <f t="shared" si="1"/>
        <v>1252</v>
      </c>
      <c r="V44" s="2">
        <f t="shared" si="2"/>
        <v>2295</v>
      </c>
    </row>
    <row r="45" spans="1:22" x14ac:dyDescent="0.3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172</v>
      </c>
      <c r="I45" s="12" t="s">
        <v>23</v>
      </c>
      <c r="J45" s="12">
        <f t="shared" si="0"/>
        <v>13</v>
      </c>
      <c r="K45" s="18" t="s">
        <v>30</v>
      </c>
      <c r="L45" s="15" t="s">
        <v>25</v>
      </c>
      <c r="M45" s="15" t="s">
        <v>26</v>
      </c>
      <c r="N45" s="21" t="s">
        <v>160</v>
      </c>
      <c r="O45" s="21" t="s">
        <v>161</v>
      </c>
      <c r="P45" s="21">
        <v>38</v>
      </c>
      <c r="Q45">
        <v>1</v>
      </c>
      <c r="R45" s="2">
        <v>1252</v>
      </c>
      <c r="S45" s="2">
        <v>2295</v>
      </c>
      <c r="T45" s="2">
        <v>1043</v>
      </c>
      <c r="U45" s="2">
        <f t="shared" si="1"/>
        <v>1252</v>
      </c>
      <c r="V45" s="2">
        <f t="shared" si="2"/>
        <v>2295</v>
      </c>
    </row>
    <row r="46" spans="1:22" x14ac:dyDescent="0.3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171</v>
      </c>
      <c r="I46" s="12" t="s">
        <v>23</v>
      </c>
      <c r="J46" s="12">
        <f t="shared" si="0"/>
        <v>13</v>
      </c>
      <c r="K46" s="18" t="s">
        <v>47</v>
      </c>
      <c r="L46" s="15" t="s">
        <v>25</v>
      </c>
      <c r="M46" s="15" t="s">
        <v>26</v>
      </c>
      <c r="N46" s="21" t="s">
        <v>160</v>
      </c>
      <c r="O46" s="21" t="s">
        <v>162</v>
      </c>
      <c r="P46" s="21">
        <v>38</v>
      </c>
      <c r="Q46">
        <v>2</v>
      </c>
      <c r="R46" s="2">
        <v>1266</v>
      </c>
      <c r="S46" s="2">
        <v>2320</v>
      </c>
      <c r="T46" s="2">
        <v>2108</v>
      </c>
      <c r="U46" s="2">
        <f t="shared" si="1"/>
        <v>2532</v>
      </c>
      <c r="V46" s="2">
        <f t="shared" si="2"/>
        <v>4640</v>
      </c>
    </row>
    <row r="47" spans="1:22" x14ac:dyDescent="0.3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172</v>
      </c>
      <c r="I47" s="12" t="s">
        <v>37</v>
      </c>
      <c r="J47" s="12">
        <f t="shared" si="0"/>
        <v>9</v>
      </c>
      <c r="K47" s="18" t="s">
        <v>24</v>
      </c>
      <c r="L47" s="15" t="s">
        <v>25</v>
      </c>
      <c r="M47" s="15" t="s">
        <v>26</v>
      </c>
      <c r="N47" s="21" t="s">
        <v>160</v>
      </c>
      <c r="O47" s="21" t="s">
        <v>161</v>
      </c>
      <c r="P47" s="21">
        <v>46</v>
      </c>
      <c r="Q47">
        <v>1</v>
      </c>
      <c r="R47" s="2">
        <v>1252</v>
      </c>
      <c r="S47" s="2">
        <v>2295</v>
      </c>
      <c r="T47" s="2">
        <v>1043</v>
      </c>
      <c r="U47" s="2">
        <f t="shared" si="1"/>
        <v>1252</v>
      </c>
      <c r="V47" s="2">
        <f t="shared" si="2"/>
        <v>2295</v>
      </c>
    </row>
    <row r="48" spans="1:22" x14ac:dyDescent="0.3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171</v>
      </c>
      <c r="I48" s="12" t="s">
        <v>23</v>
      </c>
      <c r="J48" s="12">
        <f t="shared" si="0"/>
        <v>13</v>
      </c>
      <c r="K48" s="18" t="s">
        <v>76</v>
      </c>
      <c r="L48" s="15" t="s">
        <v>25</v>
      </c>
      <c r="M48" s="15" t="s">
        <v>26</v>
      </c>
      <c r="N48" s="21" t="s">
        <v>163</v>
      </c>
      <c r="O48" s="21" t="s">
        <v>162</v>
      </c>
      <c r="P48" s="21">
        <v>46</v>
      </c>
      <c r="Q48">
        <v>1</v>
      </c>
      <c r="R48" s="2">
        <v>420</v>
      </c>
      <c r="S48" s="2">
        <v>769</v>
      </c>
      <c r="T48" s="2">
        <v>349</v>
      </c>
      <c r="U48" s="2">
        <f t="shared" si="1"/>
        <v>420</v>
      </c>
      <c r="V48" s="2">
        <f t="shared" si="2"/>
        <v>769</v>
      </c>
    </row>
    <row r="49" spans="1:22" x14ac:dyDescent="0.3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171</v>
      </c>
      <c r="I49" s="12" t="s">
        <v>37</v>
      </c>
      <c r="J49" s="12">
        <f t="shared" si="0"/>
        <v>9</v>
      </c>
      <c r="K49" s="18" t="s">
        <v>24</v>
      </c>
      <c r="L49" s="15" t="s">
        <v>25</v>
      </c>
      <c r="M49" s="15" t="s">
        <v>26</v>
      </c>
      <c r="N49" s="21" t="s">
        <v>160</v>
      </c>
      <c r="O49" s="21" t="s">
        <v>162</v>
      </c>
      <c r="P49" s="21">
        <v>42</v>
      </c>
      <c r="Q49">
        <v>1</v>
      </c>
      <c r="R49" s="2">
        <v>1266</v>
      </c>
      <c r="S49" s="2">
        <v>2320</v>
      </c>
      <c r="T49" s="2">
        <v>1054</v>
      </c>
      <c r="U49" s="2">
        <f t="shared" si="1"/>
        <v>1266</v>
      </c>
      <c r="V49" s="2">
        <f t="shared" si="2"/>
        <v>2320</v>
      </c>
    </row>
    <row r="50" spans="1:22" x14ac:dyDescent="0.3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171</v>
      </c>
      <c r="I50" s="12" t="s">
        <v>37</v>
      </c>
      <c r="J50" s="12">
        <f t="shared" si="0"/>
        <v>9</v>
      </c>
      <c r="K50" s="18" t="s">
        <v>38</v>
      </c>
      <c r="L50" s="15" t="s">
        <v>25</v>
      </c>
      <c r="M50" s="15" t="s">
        <v>26</v>
      </c>
      <c r="N50" s="21" t="s">
        <v>160</v>
      </c>
      <c r="O50" s="21" t="s">
        <v>161</v>
      </c>
      <c r="P50" s="21">
        <v>38</v>
      </c>
      <c r="Q50">
        <v>2</v>
      </c>
      <c r="R50" s="2">
        <v>1252</v>
      </c>
      <c r="S50" s="2">
        <v>2295</v>
      </c>
      <c r="T50" s="2">
        <v>2086</v>
      </c>
      <c r="U50" s="2">
        <f t="shared" si="1"/>
        <v>2504</v>
      </c>
      <c r="V50" s="2">
        <f t="shared" si="2"/>
        <v>4590</v>
      </c>
    </row>
    <row r="51" spans="1:22" x14ac:dyDescent="0.3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172</v>
      </c>
      <c r="I51" s="12" t="s">
        <v>89</v>
      </c>
      <c r="J51" s="12">
        <f t="shared" si="0"/>
        <v>6</v>
      </c>
      <c r="K51" s="18" t="s">
        <v>38</v>
      </c>
      <c r="L51" s="15" t="s">
        <v>25</v>
      </c>
      <c r="M51" s="15" t="s">
        <v>26</v>
      </c>
      <c r="N51" s="21" t="s">
        <v>160</v>
      </c>
      <c r="O51" s="21" t="s">
        <v>161</v>
      </c>
      <c r="P51" s="21">
        <v>38</v>
      </c>
      <c r="Q51">
        <v>2</v>
      </c>
      <c r="R51" s="2">
        <v>1252</v>
      </c>
      <c r="S51" s="2">
        <v>2295</v>
      </c>
      <c r="T51" s="2">
        <v>2086</v>
      </c>
      <c r="U51" s="2">
        <f t="shared" si="1"/>
        <v>2504</v>
      </c>
      <c r="V51" s="2">
        <f t="shared" si="2"/>
        <v>4590</v>
      </c>
    </row>
    <row r="52" spans="1:22" x14ac:dyDescent="0.3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171</v>
      </c>
      <c r="I52" s="12" t="s">
        <v>23</v>
      </c>
      <c r="J52" s="12">
        <f t="shared" si="0"/>
        <v>13</v>
      </c>
      <c r="K52" s="18" t="s">
        <v>112</v>
      </c>
      <c r="L52" s="15" t="s">
        <v>25</v>
      </c>
      <c r="M52" s="15" t="s">
        <v>26</v>
      </c>
      <c r="N52" s="21" t="s">
        <v>160</v>
      </c>
      <c r="O52" s="21" t="s">
        <v>162</v>
      </c>
      <c r="P52" s="21">
        <v>46</v>
      </c>
      <c r="Q52">
        <v>1</v>
      </c>
      <c r="R52" s="2">
        <v>1266</v>
      </c>
      <c r="S52" s="2">
        <v>2320</v>
      </c>
      <c r="T52" s="2">
        <v>1054</v>
      </c>
      <c r="U52" s="2">
        <f t="shared" si="1"/>
        <v>1266</v>
      </c>
      <c r="V52" s="2">
        <f t="shared" si="2"/>
        <v>2320</v>
      </c>
    </row>
    <row r="53" spans="1:22" x14ac:dyDescent="0.3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171</v>
      </c>
      <c r="I53" s="12" t="s">
        <v>37</v>
      </c>
      <c r="J53" s="12">
        <f t="shared" si="0"/>
        <v>9</v>
      </c>
      <c r="K53" s="18" t="s">
        <v>47</v>
      </c>
      <c r="L53" s="15" t="s">
        <v>25</v>
      </c>
      <c r="M53" s="15" t="s">
        <v>26</v>
      </c>
      <c r="N53" s="21" t="s">
        <v>160</v>
      </c>
      <c r="O53" s="21" t="s">
        <v>162</v>
      </c>
      <c r="P53" s="21">
        <v>38</v>
      </c>
      <c r="Q53">
        <v>2</v>
      </c>
      <c r="R53" s="2">
        <v>1266</v>
      </c>
      <c r="S53" s="2">
        <v>2320</v>
      </c>
      <c r="T53" s="2">
        <v>2108</v>
      </c>
      <c r="U53" s="2">
        <f t="shared" si="1"/>
        <v>2532</v>
      </c>
      <c r="V53" s="2">
        <f t="shared" si="2"/>
        <v>4640</v>
      </c>
    </row>
    <row r="54" spans="1:22" x14ac:dyDescent="0.3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172</v>
      </c>
      <c r="I54" s="12" t="s">
        <v>51</v>
      </c>
      <c r="J54" s="12">
        <f t="shared" si="0"/>
        <v>7</v>
      </c>
      <c r="K54" s="18" t="s">
        <v>38</v>
      </c>
      <c r="L54" s="15" t="s">
        <v>25</v>
      </c>
      <c r="M54" s="15" t="s">
        <v>26</v>
      </c>
      <c r="N54" s="21" t="s">
        <v>163</v>
      </c>
      <c r="O54" s="21" t="s">
        <v>162</v>
      </c>
      <c r="P54" s="21">
        <v>42</v>
      </c>
      <c r="Q54">
        <v>1</v>
      </c>
      <c r="R54" s="2">
        <v>420</v>
      </c>
      <c r="S54" s="2">
        <v>769</v>
      </c>
      <c r="T54" s="2">
        <v>349</v>
      </c>
      <c r="U54" s="2">
        <f t="shared" si="1"/>
        <v>420</v>
      </c>
      <c r="V54" s="2">
        <f t="shared" si="2"/>
        <v>769</v>
      </c>
    </row>
    <row r="55" spans="1:22" x14ac:dyDescent="0.3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171</v>
      </c>
      <c r="I55" s="12" t="s">
        <v>37</v>
      </c>
      <c r="J55" s="12">
        <f t="shared" si="0"/>
        <v>9</v>
      </c>
      <c r="K55" s="18" t="s">
        <v>52</v>
      </c>
      <c r="L55" s="15" t="s">
        <v>25</v>
      </c>
      <c r="M55" s="15" t="s">
        <v>26</v>
      </c>
      <c r="N55" s="21" t="s">
        <v>160</v>
      </c>
      <c r="O55" s="21" t="s">
        <v>162</v>
      </c>
      <c r="P55" s="21">
        <v>46</v>
      </c>
      <c r="Q55">
        <v>1</v>
      </c>
      <c r="R55" s="2">
        <v>1266</v>
      </c>
      <c r="S55" s="2">
        <v>2320</v>
      </c>
      <c r="T55" s="2">
        <v>1054</v>
      </c>
      <c r="U55" s="2">
        <f t="shared" si="1"/>
        <v>1266</v>
      </c>
      <c r="V55" s="2">
        <f t="shared" si="2"/>
        <v>2320</v>
      </c>
    </row>
    <row r="56" spans="1:22" x14ac:dyDescent="0.3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171</v>
      </c>
      <c r="I56" s="12" t="s">
        <v>51</v>
      </c>
      <c r="J56" s="12">
        <f t="shared" si="0"/>
        <v>7</v>
      </c>
      <c r="K56" s="18" t="s">
        <v>38</v>
      </c>
      <c r="L56" s="15" t="s">
        <v>25</v>
      </c>
      <c r="M56" s="15" t="s">
        <v>26</v>
      </c>
      <c r="N56" s="21" t="s">
        <v>164</v>
      </c>
      <c r="O56" s="21" t="s">
        <v>162</v>
      </c>
      <c r="P56" s="21">
        <v>42</v>
      </c>
      <c r="Q56">
        <v>4</v>
      </c>
      <c r="R56" s="2">
        <v>308</v>
      </c>
      <c r="S56" s="2">
        <v>565</v>
      </c>
      <c r="T56" s="2">
        <v>1028</v>
      </c>
      <c r="U56" s="2">
        <f t="shared" si="1"/>
        <v>1232</v>
      </c>
      <c r="V56" s="2">
        <f t="shared" si="2"/>
        <v>2260</v>
      </c>
    </row>
    <row r="57" spans="1:22" x14ac:dyDescent="0.3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171</v>
      </c>
      <c r="I57" s="12" t="s">
        <v>89</v>
      </c>
      <c r="J57" s="12">
        <f t="shared" si="0"/>
        <v>6</v>
      </c>
      <c r="K57" s="18" t="s">
        <v>52</v>
      </c>
      <c r="L57" s="15" t="s">
        <v>25</v>
      </c>
      <c r="M57" s="15" t="s">
        <v>26</v>
      </c>
      <c r="N57" s="21" t="s">
        <v>160</v>
      </c>
      <c r="O57" s="21" t="s">
        <v>162</v>
      </c>
      <c r="P57" s="21">
        <v>46</v>
      </c>
      <c r="Q57">
        <v>4</v>
      </c>
      <c r="R57" s="2">
        <v>1266</v>
      </c>
      <c r="S57" s="2">
        <v>2320</v>
      </c>
      <c r="T57" s="2">
        <v>4216</v>
      </c>
      <c r="U57" s="2">
        <f t="shared" si="1"/>
        <v>5064</v>
      </c>
      <c r="V57" s="2">
        <f t="shared" si="2"/>
        <v>9280</v>
      </c>
    </row>
    <row r="58" spans="1:22" x14ac:dyDescent="0.3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171</v>
      </c>
      <c r="I58" s="12" t="s">
        <v>29</v>
      </c>
      <c r="J58" s="12">
        <f t="shared" si="0"/>
        <v>14</v>
      </c>
      <c r="K58" s="18" t="s">
        <v>120</v>
      </c>
      <c r="L58" s="15" t="s">
        <v>25</v>
      </c>
      <c r="M58" s="15" t="s">
        <v>26</v>
      </c>
      <c r="N58" s="21" t="s">
        <v>160</v>
      </c>
      <c r="O58" s="21" t="s">
        <v>162</v>
      </c>
      <c r="P58" s="21">
        <v>38</v>
      </c>
      <c r="Q58">
        <v>3</v>
      </c>
      <c r="R58" s="2">
        <v>1266</v>
      </c>
      <c r="S58" s="2">
        <v>2320</v>
      </c>
      <c r="T58" s="2">
        <v>3162</v>
      </c>
      <c r="U58" s="2">
        <f t="shared" si="1"/>
        <v>3798</v>
      </c>
      <c r="V58" s="2">
        <f t="shared" si="2"/>
        <v>6960</v>
      </c>
    </row>
    <row r="59" spans="1:22" x14ac:dyDescent="0.3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171</v>
      </c>
      <c r="I59" s="12" t="s">
        <v>23</v>
      </c>
      <c r="J59" s="12">
        <f t="shared" si="0"/>
        <v>13</v>
      </c>
      <c r="K59" s="18" t="s">
        <v>30</v>
      </c>
      <c r="L59" s="15" t="s">
        <v>25</v>
      </c>
      <c r="M59" s="15" t="s">
        <v>26</v>
      </c>
      <c r="N59" s="21" t="s">
        <v>163</v>
      </c>
      <c r="O59" s="21" t="s">
        <v>162</v>
      </c>
      <c r="P59" s="21">
        <v>42</v>
      </c>
      <c r="Q59">
        <v>3</v>
      </c>
      <c r="R59" s="2">
        <v>420</v>
      </c>
      <c r="S59" s="2">
        <v>769</v>
      </c>
      <c r="T59" s="2">
        <v>1047</v>
      </c>
      <c r="U59" s="2">
        <f t="shared" si="1"/>
        <v>1260</v>
      </c>
      <c r="V59" s="2">
        <f t="shared" si="2"/>
        <v>2307</v>
      </c>
    </row>
    <row r="60" spans="1:22" x14ac:dyDescent="0.3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172</v>
      </c>
      <c r="I60" s="12" t="s">
        <v>89</v>
      </c>
      <c r="J60" s="12">
        <f t="shared" si="0"/>
        <v>6</v>
      </c>
      <c r="K60" s="18" t="s">
        <v>24</v>
      </c>
      <c r="L60" s="15" t="s">
        <v>25</v>
      </c>
      <c r="M60" s="15" t="s">
        <v>26</v>
      </c>
      <c r="N60" s="21" t="s">
        <v>160</v>
      </c>
      <c r="O60" s="21" t="s">
        <v>161</v>
      </c>
      <c r="P60" s="21">
        <v>42</v>
      </c>
      <c r="Q60">
        <v>3</v>
      </c>
      <c r="R60" s="2">
        <v>1252</v>
      </c>
      <c r="S60" s="2">
        <v>2295</v>
      </c>
      <c r="T60" s="2">
        <v>3129</v>
      </c>
      <c r="U60" s="2">
        <f t="shared" si="1"/>
        <v>3756</v>
      </c>
      <c r="V60" s="2">
        <f t="shared" si="2"/>
        <v>6885</v>
      </c>
    </row>
    <row r="61" spans="1:22" x14ac:dyDescent="0.3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172</v>
      </c>
      <c r="I61" s="12" t="s">
        <v>23</v>
      </c>
      <c r="J61" s="12">
        <f t="shared" si="0"/>
        <v>13</v>
      </c>
      <c r="K61" s="18" t="s">
        <v>90</v>
      </c>
      <c r="L61" s="15" t="s">
        <v>25</v>
      </c>
      <c r="M61" s="15" t="s">
        <v>26</v>
      </c>
      <c r="N61" s="21" t="s">
        <v>160</v>
      </c>
      <c r="O61" s="21" t="s">
        <v>161</v>
      </c>
      <c r="P61" s="21">
        <v>46</v>
      </c>
      <c r="Q61">
        <v>1</v>
      </c>
      <c r="R61" s="2">
        <v>1252</v>
      </c>
      <c r="S61" s="2">
        <v>2295</v>
      </c>
      <c r="T61" s="2">
        <v>1043</v>
      </c>
      <c r="U61" s="2">
        <f t="shared" si="1"/>
        <v>1252</v>
      </c>
      <c r="V61" s="2">
        <f t="shared" si="2"/>
        <v>2295</v>
      </c>
    </row>
    <row r="62" spans="1:22" x14ac:dyDescent="0.3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172</v>
      </c>
      <c r="I62" s="12" t="s">
        <v>89</v>
      </c>
      <c r="J62" s="12">
        <f t="shared" si="0"/>
        <v>6</v>
      </c>
      <c r="K62" s="18" t="s">
        <v>47</v>
      </c>
      <c r="L62" s="15" t="s">
        <v>25</v>
      </c>
      <c r="M62" s="15" t="s">
        <v>26</v>
      </c>
      <c r="N62" s="21" t="s">
        <v>160</v>
      </c>
      <c r="O62" s="21" t="s">
        <v>162</v>
      </c>
      <c r="P62" s="21">
        <v>38</v>
      </c>
      <c r="Q62">
        <v>1</v>
      </c>
      <c r="R62" s="2">
        <v>1266</v>
      </c>
      <c r="S62" s="2">
        <v>2320</v>
      </c>
      <c r="T62" s="2">
        <v>1054</v>
      </c>
      <c r="U62" s="2">
        <f t="shared" si="1"/>
        <v>1266</v>
      </c>
      <c r="V62" s="2">
        <f t="shared" si="2"/>
        <v>2320</v>
      </c>
    </row>
    <row r="63" spans="1:22" x14ac:dyDescent="0.3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172</v>
      </c>
      <c r="I63" s="12" t="s">
        <v>37</v>
      </c>
      <c r="J63" s="12">
        <f t="shared" si="0"/>
        <v>9</v>
      </c>
      <c r="K63" s="18" t="s">
        <v>126</v>
      </c>
      <c r="L63" s="15" t="s">
        <v>25</v>
      </c>
      <c r="M63" s="15" t="s">
        <v>26</v>
      </c>
      <c r="N63" s="21" t="s">
        <v>160</v>
      </c>
      <c r="O63" s="21" t="s">
        <v>162</v>
      </c>
      <c r="P63" s="21">
        <v>46</v>
      </c>
      <c r="Q63">
        <v>4</v>
      </c>
      <c r="R63" s="2">
        <v>1266</v>
      </c>
      <c r="S63" s="2">
        <v>2320</v>
      </c>
      <c r="T63" s="2">
        <v>4216</v>
      </c>
      <c r="U63" s="2">
        <f t="shared" si="1"/>
        <v>5064</v>
      </c>
      <c r="V63" s="2">
        <f t="shared" si="2"/>
        <v>9280</v>
      </c>
    </row>
    <row r="64" spans="1:22" x14ac:dyDescent="0.3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171</v>
      </c>
      <c r="I64" s="12" t="s">
        <v>89</v>
      </c>
      <c r="J64" s="12">
        <f t="shared" si="0"/>
        <v>6</v>
      </c>
      <c r="K64" s="18" t="s">
        <v>76</v>
      </c>
      <c r="L64" s="15" t="s">
        <v>25</v>
      </c>
      <c r="M64" s="15" t="s">
        <v>26</v>
      </c>
      <c r="N64" s="21" t="s">
        <v>164</v>
      </c>
      <c r="O64" s="21" t="s">
        <v>161</v>
      </c>
      <c r="P64" s="21">
        <v>44</v>
      </c>
      <c r="Q64">
        <v>4</v>
      </c>
      <c r="R64" s="2">
        <v>295</v>
      </c>
      <c r="S64" s="2">
        <v>540</v>
      </c>
      <c r="T64" s="2">
        <v>980</v>
      </c>
      <c r="U64" s="2">
        <f t="shared" si="1"/>
        <v>1180</v>
      </c>
      <c r="V64" s="2">
        <f t="shared" si="2"/>
        <v>2160</v>
      </c>
    </row>
    <row r="65" spans="1:22" x14ac:dyDescent="0.3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172</v>
      </c>
      <c r="I65" s="12" t="s">
        <v>23</v>
      </c>
      <c r="J65" s="12">
        <f t="shared" si="0"/>
        <v>13</v>
      </c>
      <c r="K65" s="18" t="s">
        <v>90</v>
      </c>
      <c r="L65" s="15" t="s">
        <v>25</v>
      </c>
      <c r="M65" s="15" t="s">
        <v>26</v>
      </c>
      <c r="N65" s="21" t="s">
        <v>160</v>
      </c>
      <c r="O65" s="21" t="s">
        <v>161</v>
      </c>
      <c r="P65" s="21">
        <v>38</v>
      </c>
      <c r="Q65">
        <v>4</v>
      </c>
      <c r="R65" s="2">
        <v>1252</v>
      </c>
      <c r="S65" s="2">
        <v>2295</v>
      </c>
      <c r="T65" s="2">
        <v>4172</v>
      </c>
      <c r="U65" s="2">
        <f t="shared" si="1"/>
        <v>5008</v>
      </c>
      <c r="V65" s="2">
        <f t="shared" si="2"/>
        <v>9180</v>
      </c>
    </row>
    <row r="66" spans="1:22" x14ac:dyDescent="0.3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171</v>
      </c>
      <c r="I66" s="12" t="s">
        <v>23</v>
      </c>
      <c r="J66" s="12">
        <f t="shared" si="0"/>
        <v>13</v>
      </c>
      <c r="K66" s="18" t="s">
        <v>72</v>
      </c>
      <c r="L66" s="15" t="s">
        <v>25</v>
      </c>
      <c r="M66" s="15" t="s">
        <v>26</v>
      </c>
      <c r="N66" s="21" t="s">
        <v>165</v>
      </c>
      <c r="O66" s="21" t="s">
        <v>161</v>
      </c>
      <c r="P66" s="21">
        <v>48</v>
      </c>
      <c r="Q66">
        <v>4</v>
      </c>
      <c r="R66" s="2">
        <v>1898</v>
      </c>
      <c r="S66" s="2">
        <v>3375</v>
      </c>
      <c r="T66" s="2">
        <v>5908</v>
      </c>
      <c r="U66" s="2">
        <f t="shared" si="1"/>
        <v>7592</v>
      </c>
      <c r="V66" s="2">
        <f t="shared" si="2"/>
        <v>13500</v>
      </c>
    </row>
    <row r="67" spans="1:22" x14ac:dyDescent="0.3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172</v>
      </c>
      <c r="I67" s="12" t="s">
        <v>23</v>
      </c>
      <c r="J67" s="12">
        <f t="shared" ref="J67:J89" si="3">LEN(I67)</f>
        <v>13</v>
      </c>
      <c r="K67" s="18" t="s">
        <v>72</v>
      </c>
      <c r="L67" s="15" t="s">
        <v>25</v>
      </c>
      <c r="M67" s="15" t="s">
        <v>26</v>
      </c>
      <c r="N67" s="21" t="s">
        <v>160</v>
      </c>
      <c r="O67" s="21" t="s">
        <v>161</v>
      </c>
      <c r="P67" s="21">
        <v>38</v>
      </c>
      <c r="Q67">
        <v>4</v>
      </c>
      <c r="R67" s="2">
        <v>1252</v>
      </c>
      <c r="S67" s="2">
        <v>2295</v>
      </c>
      <c r="T67" s="2">
        <v>4172</v>
      </c>
      <c r="U67" s="2">
        <f t="shared" ref="U67:U89" si="4">Q67*R67</f>
        <v>5008</v>
      </c>
      <c r="V67" s="2">
        <f t="shared" ref="V67:V89" si="5">Q67*S67</f>
        <v>9180</v>
      </c>
    </row>
    <row r="68" spans="1:22" x14ac:dyDescent="0.3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171</v>
      </c>
      <c r="I68" s="12" t="s">
        <v>37</v>
      </c>
      <c r="J68" s="12">
        <f t="shared" si="3"/>
        <v>9</v>
      </c>
      <c r="K68" s="18" t="s">
        <v>24</v>
      </c>
      <c r="L68" s="15" t="s">
        <v>25</v>
      </c>
      <c r="M68" s="15" t="s">
        <v>26</v>
      </c>
      <c r="N68" s="21" t="s">
        <v>160</v>
      </c>
      <c r="O68" s="21" t="s">
        <v>161</v>
      </c>
      <c r="P68" s="21">
        <v>46</v>
      </c>
      <c r="Q68">
        <v>4</v>
      </c>
      <c r="R68" s="2">
        <v>1252</v>
      </c>
      <c r="S68" s="2">
        <v>2295</v>
      </c>
      <c r="T68" s="2">
        <v>4172</v>
      </c>
      <c r="U68" s="2">
        <f t="shared" si="4"/>
        <v>5008</v>
      </c>
      <c r="V68" s="2">
        <f t="shared" si="5"/>
        <v>9180</v>
      </c>
    </row>
    <row r="69" spans="1:22" x14ac:dyDescent="0.3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171</v>
      </c>
      <c r="I69" s="12" t="s">
        <v>37</v>
      </c>
      <c r="J69" s="12">
        <f t="shared" si="3"/>
        <v>9</v>
      </c>
      <c r="K69" s="18" t="s">
        <v>54</v>
      </c>
      <c r="L69" s="15" t="s">
        <v>25</v>
      </c>
      <c r="M69" s="15" t="s">
        <v>26</v>
      </c>
      <c r="N69" s="21" t="s">
        <v>160</v>
      </c>
      <c r="O69" s="21" t="s">
        <v>161</v>
      </c>
      <c r="P69" s="21">
        <v>46</v>
      </c>
      <c r="Q69">
        <v>4</v>
      </c>
      <c r="R69" s="2">
        <v>1252</v>
      </c>
      <c r="S69" s="2">
        <v>2295</v>
      </c>
      <c r="T69" s="2">
        <v>4172</v>
      </c>
      <c r="U69" s="2">
        <f t="shared" si="4"/>
        <v>5008</v>
      </c>
      <c r="V69" s="2">
        <f t="shared" si="5"/>
        <v>9180</v>
      </c>
    </row>
    <row r="70" spans="1:22" x14ac:dyDescent="0.3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172</v>
      </c>
      <c r="I70" s="12" t="s">
        <v>51</v>
      </c>
      <c r="J70" s="12">
        <f t="shared" si="3"/>
        <v>7</v>
      </c>
      <c r="K70" s="18" t="s">
        <v>136</v>
      </c>
      <c r="L70" s="15" t="s">
        <v>25</v>
      </c>
      <c r="M70" s="15" t="s">
        <v>26</v>
      </c>
      <c r="N70" s="21" t="s">
        <v>164</v>
      </c>
      <c r="O70" s="21" t="s">
        <v>161</v>
      </c>
      <c r="P70" s="21">
        <v>40</v>
      </c>
      <c r="Q70">
        <v>2</v>
      </c>
      <c r="R70" s="2">
        <v>295</v>
      </c>
      <c r="S70" s="2">
        <v>540</v>
      </c>
      <c r="T70" s="2">
        <v>490</v>
      </c>
      <c r="U70" s="2">
        <f t="shared" si="4"/>
        <v>590</v>
      </c>
      <c r="V70" s="2">
        <f t="shared" si="5"/>
        <v>1080</v>
      </c>
    </row>
    <row r="71" spans="1:22" x14ac:dyDescent="0.3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171</v>
      </c>
      <c r="I71" s="12" t="s">
        <v>23</v>
      </c>
      <c r="J71" s="12">
        <f t="shared" si="3"/>
        <v>13</v>
      </c>
      <c r="K71" s="18" t="s">
        <v>138</v>
      </c>
      <c r="L71" s="15" t="s">
        <v>25</v>
      </c>
      <c r="M71" s="15" t="s">
        <v>26</v>
      </c>
      <c r="N71" s="21" t="s">
        <v>160</v>
      </c>
      <c r="O71" s="21" t="s">
        <v>161</v>
      </c>
      <c r="P71" s="21">
        <v>46</v>
      </c>
      <c r="Q71">
        <v>2</v>
      </c>
      <c r="R71" s="2">
        <v>1252</v>
      </c>
      <c r="S71" s="2">
        <v>2295</v>
      </c>
      <c r="T71" s="2">
        <v>2086</v>
      </c>
      <c r="U71" s="2">
        <f t="shared" si="4"/>
        <v>2504</v>
      </c>
      <c r="V71" s="2">
        <f t="shared" si="5"/>
        <v>4590</v>
      </c>
    </row>
    <row r="72" spans="1:22" x14ac:dyDescent="0.3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171</v>
      </c>
      <c r="I72" s="12" t="s">
        <v>37</v>
      </c>
      <c r="J72" s="12">
        <f t="shared" si="3"/>
        <v>9</v>
      </c>
      <c r="K72" s="18" t="s">
        <v>47</v>
      </c>
      <c r="L72" s="15" t="s">
        <v>25</v>
      </c>
      <c r="M72" s="15" t="s">
        <v>26</v>
      </c>
      <c r="N72" s="21" t="s">
        <v>160</v>
      </c>
      <c r="O72" s="21" t="s">
        <v>162</v>
      </c>
      <c r="P72" s="21">
        <v>38</v>
      </c>
      <c r="Q72">
        <v>1</v>
      </c>
      <c r="R72" s="2">
        <v>1266</v>
      </c>
      <c r="S72" s="2">
        <v>2320</v>
      </c>
      <c r="T72" s="2">
        <v>1054</v>
      </c>
      <c r="U72" s="2">
        <f t="shared" si="4"/>
        <v>1266</v>
      </c>
      <c r="V72" s="2">
        <f t="shared" si="5"/>
        <v>2320</v>
      </c>
    </row>
    <row r="73" spans="1:22" x14ac:dyDescent="0.3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171</v>
      </c>
      <c r="I73" s="12" t="s">
        <v>37</v>
      </c>
      <c r="J73" s="12">
        <f t="shared" si="3"/>
        <v>9</v>
      </c>
      <c r="K73" s="18" t="s">
        <v>76</v>
      </c>
      <c r="L73" s="15" t="s">
        <v>25</v>
      </c>
      <c r="M73" s="15" t="s">
        <v>26</v>
      </c>
      <c r="N73" s="21" t="s">
        <v>165</v>
      </c>
      <c r="O73" s="21" t="s">
        <v>161</v>
      </c>
      <c r="P73" s="21">
        <v>38</v>
      </c>
      <c r="Q73">
        <v>4</v>
      </c>
      <c r="R73" s="2">
        <v>1898</v>
      </c>
      <c r="S73" s="2">
        <v>3375</v>
      </c>
      <c r="T73" s="2">
        <v>5908</v>
      </c>
      <c r="U73" s="2">
        <f t="shared" si="4"/>
        <v>7592</v>
      </c>
      <c r="V73" s="2">
        <f t="shared" si="5"/>
        <v>13500</v>
      </c>
    </row>
    <row r="74" spans="1:22" x14ac:dyDescent="0.3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172</v>
      </c>
      <c r="I74" s="12" t="s">
        <v>59</v>
      </c>
      <c r="J74" s="12">
        <f t="shared" si="3"/>
        <v>6</v>
      </c>
      <c r="K74" s="18" t="s">
        <v>54</v>
      </c>
      <c r="L74" s="15" t="s">
        <v>25</v>
      </c>
      <c r="M74" s="15" t="s">
        <v>26</v>
      </c>
      <c r="N74" s="21" t="s">
        <v>160</v>
      </c>
      <c r="O74" s="21" t="s">
        <v>161</v>
      </c>
      <c r="P74" s="21">
        <v>46</v>
      </c>
      <c r="Q74">
        <v>4</v>
      </c>
      <c r="R74" s="2">
        <v>1252</v>
      </c>
      <c r="S74" s="2">
        <v>2295</v>
      </c>
      <c r="T74" s="2">
        <v>4172</v>
      </c>
      <c r="U74" s="2">
        <f t="shared" si="4"/>
        <v>5008</v>
      </c>
      <c r="V74" s="2">
        <f t="shared" si="5"/>
        <v>9180</v>
      </c>
    </row>
    <row r="75" spans="1:22" x14ac:dyDescent="0.3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172</v>
      </c>
      <c r="I75" s="12" t="s">
        <v>37</v>
      </c>
      <c r="J75" s="12">
        <f t="shared" si="3"/>
        <v>9</v>
      </c>
      <c r="K75" s="18" t="s">
        <v>60</v>
      </c>
      <c r="L75" s="15" t="s">
        <v>25</v>
      </c>
      <c r="M75" s="15" t="s">
        <v>26</v>
      </c>
      <c r="N75" s="21" t="s">
        <v>164</v>
      </c>
      <c r="O75" s="21" t="s">
        <v>161</v>
      </c>
      <c r="P75" s="21">
        <v>52</v>
      </c>
      <c r="Q75">
        <v>3</v>
      </c>
      <c r="R75" s="2">
        <v>295</v>
      </c>
      <c r="S75" s="2">
        <v>540</v>
      </c>
      <c r="T75" s="2">
        <v>735</v>
      </c>
      <c r="U75" s="2">
        <f t="shared" si="4"/>
        <v>885</v>
      </c>
      <c r="V75" s="2">
        <f t="shared" si="5"/>
        <v>1620</v>
      </c>
    </row>
    <row r="76" spans="1:22" x14ac:dyDescent="0.3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171</v>
      </c>
      <c r="I76" s="12" t="s">
        <v>37</v>
      </c>
      <c r="J76" s="12">
        <f t="shared" si="3"/>
        <v>9</v>
      </c>
      <c r="K76" s="18" t="s">
        <v>54</v>
      </c>
      <c r="L76" s="15" t="s">
        <v>25</v>
      </c>
      <c r="M76" s="15" t="s">
        <v>26</v>
      </c>
      <c r="N76" s="21" t="s">
        <v>160</v>
      </c>
      <c r="O76" s="21" t="s">
        <v>162</v>
      </c>
      <c r="P76" s="21">
        <v>38</v>
      </c>
      <c r="Q76">
        <v>1</v>
      </c>
      <c r="R76" s="2">
        <v>1266</v>
      </c>
      <c r="S76" s="2">
        <v>2320</v>
      </c>
      <c r="T76" s="2">
        <v>1054</v>
      </c>
      <c r="U76" s="2">
        <f t="shared" si="4"/>
        <v>1266</v>
      </c>
      <c r="V76" s="2">
        <f t="shared" si="5"/>
        <v>2320</v>
      </c>
    </row>
    <row r="77" spans="1:22" x14ac:dyDescent="0.3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172</v>
      </c>
      <c r="I77" s="12" t="s">
        <v>89</v>
      </c>
      <c r="J77" s="12">
        <f t="shared" si="3"/>
        <v>6</v>
      </c>
      <c r="K77" s="18" t="s">
        <v>76</v>
      </c>
      <c r="L77" s="15" t="s">
        <v>25</v>
      </c>
      <c r="M77" s="15" t="s">
        <v>26</v>
      </c>
      <c r="N77" s="21" t="s">
        <v>160</v>
      </c>
      <c r="O77" s="21" t="s">
        <v>162</v>
      </c>
      <c r="P77" s="21">
        <v>38</v>
      </c>
      <c r="Q77">
        <v>1</v>
      </c>
      <c r="R77" s="2">
        <v>1266</v>
      </c>
      <c r="S77" s="2">
        <v>2320</v>
      </c>
      <c r="T77" s="2">
        <v>1054</v>
      </c>
      <c r="U77" s="2">
        <f t="shared" si="4"/>
        <v>1266</v>
      </c>
      <c r="V77" s="2">
        <f t="shared" si="5"/>
        <v>2320</v>
      </c>
    </row>
    <row r="78" spans="1:22" x14ac:dyDescent="0.3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172</v>
      </c>
      <c r="I78" s="12" t="s">
        <v>29</v>
      </c>
      <c r="J78" s="12">
        <f t="shared" si="3"/>
        <v>14</v>
      </c>
      <c r="K78" s="18" t="s">
        <v>147</v>
      </c>
      <c r="L78" s="15" t="s">
        <v>25</v>
      </c>
      <c r="M78" s="15" t="s">
        <v>26</v>
      </c>
      <c r="N78" s="21" t="s">
        <v>160</v>
      </c>
      <c r="O78" s="21" t="s">
        <v>162</v>
      </c>
      <c r="P78" s="21">
        <v>38</v>
      </c>
      <c r="Q78">
        <v>3</v>
      </c>
      <c r="R78" s="2">
        <v>1266</v>
      </c>
      <c r="S78" s="2">
        <v>2320</v>
      </c>
      <c r="T78" s="2">
        <v>3162</v>
      </c>
      <c r="U78" s="2">
        <f t="shared" si="4"/>
        <v>3798</v>
      </c>
      <c r="V78" s="2">
        <f t="shared" si="5"/>
        <v>6960</v>
      </c>
    </row>
    <row r="79" spans="1:22" x14ac:dyDescent="0.3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172</v>
      </c>
      <c r="I79" s="12" t="s">
        <v>23</v>
      </c>
      <c r="J79" s="12">
        <f t="shared" si="3"/>
        <v>13</v>
      </c>
      <c r="K79" s="18" t="s">
        <v>30</v>
      </c>
      <c r="L79" s="15" t="s">
        <v>25</v>
      </c>
      <c r="M79" s="15" t="s">
        <v>26</v>
      </c>
      <c r="N79" s="21" t="s">
        <v>163</v>
      </c>
      <c r="O79" s="21" t="s">
        <v>162</v>
      </c>
      <c r="P79" s="21">
        <v>46</v>
      </c>
      <c r="Q79">
        <v>2</v>
      </c>
      <c r="R79" s="2">
        <v>420</v>
      </c>
      <c r="S79" s="2">
        <v>769</v>
      </c>
      <c r="T79" s="2">
        <v>698</v>
      </c>
      <c r="U79" s="2">
        <f t="shared" si="4"/>
        <v>840</v>
      </c>
      <c r="V79" s="2">
        <f t="shared" si="5"/>
        <v>1538</v>
      </c>
    </row>
    <row r="80" spans="1:22" x14ac:dyDescent="0.3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171</v>
      </c>
      <c r="I80" s="12" t="s">
        <v>23</v>
      </c>
      <c r="J80" s="12">
        <f t="shared" si="3"/>
        <v>13</v>
      </c>
      <c r="K80" s="18" t="s">
        <v>47</v>
      </c>
      <c r="L80" s="15" t="s">
        <v>25</v>
      </c>
      <c r="M80" s="15" t="s">
        <v>26</v>
      </c>
      <c r="N80" s="21" t="s">
        <v>160</v>
      </c>
      <c r="O80" s="21" t="s">
        <v>162</v>
      </c>
      <c r="P80" s="21">
        <v>38</v>
      </c>
      <c r="Q80">
        <v>3</v>
      </c>
      <c r="R80" s="2">
        <v>1266</v>
      </c>
      <c r="S80" s="2">
        <v>2320</v>
      </c>
      <c r="T80" s="2">
        <v>3162</v>
      </c>
      <c r="U80" s="2">
        <f t="shared" si="4"/>
        <v>3798</v>
      </c>
      <c r="V80" s="2">
        <f t="shared" si="5"/>
        <v>6960</v>
      </c>
    </row>
    <row r="81" spans="1:22" x14ac:dyDescent="0.3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172</v>
      </c>
      <c r="I81" s="12" t="s">
        <v>37</v>
      </c>
      <c r="J81" s="12">
        <f t="shared" si="3"/>
        <v>9</v>
      </c>
      <c r="K81" s="18" t="s">
        <v>24</v>
      </c>
      <c r="L81" s="15" t="s">
        <v>25</v>
      </c>
      <c r="M81" s="15" t="s">
        <v>26</v>
      </c>
      <c r="N81" s="21" t="s">
        <v>160</v>
      </c>
      <c r="O81" s="21" t="s">
        <v>161</v>
      </c>
      <c r="P81" s="21">
        <v>42</v>
      </c>
      <c r="Q81">
        <v>3</v>
      </c>
      <c r="R81" s="2">
        <v>1252</v>
      </c>
      <c r="S81" s="2">
        <v>2295</v>
      </c>
      <c r="T81" s="2">
        <v>3129</v>
      </c>
      <c r="U81" s="2">
        <f t="shared" si="4"/>
        <v>3756</v>
      </c>
      <c r="V81" s="2">
        <f t="shared" si="5"/>
        <v>6885</v>
      </c>
    </row>
    <row r="82" spans="1:22" x14ac:dyDescent="0.3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171</v>
      </c>
      <c r="I82" s="12" t="s">
        <v>89</v>
      </c>
      <c r="J82" s="12">
        <f t="shared" si="3"/>
        <v>6</v>
      </c>
      <c r="K82" s="18" t="s">
        <v>38</v>
      </c>
      <c r="L82" s="15" t="s">
        <v>25</v>
      </c>
      <c r="M82" s="15" t="s">
        <v>26</v>
      </c>
      <c r="N82" s="21" t="s">
        <v>164</v>
      </c>
      <c r="O82" s="21" t="s">
        <v>162</v>
      </c>
      <c r="P82" s="21">
        <v>42</v>
      </c>
      <c r="Q82">
        <v>1</v>
      </c>
      <c r="R82" s="2">
        <v>308</v>
      </c>
      <c r="S82" s="2">
        <v>565</v>
      </c>
      <c r="T82" s="2">
        <v>257</v>
      </c>
      <c r="U82" s="2">
        <f t="shared" si="4"/>
        <v>308</v>
      </c>
      <c r="V82" s="2">
        <f t="shared" si="5"/>
        <v>565</v>
      </c>
    </row>
    <row r="83" spans="1:22" x14ac:dyDescent="0.3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172</v>
      </c>
      <c r="I83" s="12" t="s">
        <v>59</v>
      </c>
      <c r="J83" s="12">
        <f t="shared" si="3"/>
        <v>6</v>
      </c>
      <c r="K83" s="18" t="s">
        <v>90</v>
      </c>
      <c r="L83" s="15" t="s">
        <v>25</v>
      </c>
      <c r="M83" s="15" t="s">
        <v>26</v>
      </c>
      <c r="N83" s="21" t="s">
        <v>160</v>
      </c>
      <c r="O83" s="21" t="s">
        <v>161</v>
      </c>
      <c r="P83" s="21">
        <v>38</v>
      </c>
      <c r="Q83">
        <v>1</v>
      </c>
      <c r="R83" s="2">
        <v>1252</v>
      </c>
      <c r="S83" s="2">
        <v>2295</v>
      </c>
      <c r="T83" s="2">
        <v>1043</v>
      </c>
      <c r="U83" s="2">
        <f t="shared" si="4"/>
        <v>1252</v>
      </c>
      <c r="V83" s="2">
        <f t="shared" si="5"/>
        <v>2295</v>
      </c>
    </row>
    <row r="84" spans="1:22" x14ac:dyDescent="0.3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171</v>
      </c>
      <c r="I84" s="12" t="s">
        <v>51</v>
      </c>
      <c r="J84" s="12">
        <f t="shared" si="3"/>
        <v>7</v>
      </c>
      <c r="K84" s="18" t="s">
        <v>60</v>
      </c>
      <c r="L84" s="15" t="s">
        <v>25</v>
      </c>
      <c r="M84" s="15" t="s">
        <v>26</v>
      </c>
      <c r="N84" s="21" t="s">
        <v>160</v>
      </c>
      <c r="O84" s="21" t="s">
        <v>161</v>
      </c>
      <c r="P84" s="21">
        <v>46</v>
      </c>
      <c r="Q84">
        <v>1</v>
      </c>
      <c r="R84" s="2">
        <v>1252</v>
      </c>
      <c r="S84" s="2">
        <v>2295</v>
      </c>
      <c r="T84" s="2">
        <v>1043</v>
      </c>
      <c r="U84" s="2">
        <f t="shared" si="4"/>
        <v>1252</v>
      </c>
      <c r="V84" s="2">
        <f t="shared" si="5"/>
        <v>2295</v>
      </c>
    </row>
    <row r="85" spans="1:22" x14ac:dyDescent="0.3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172</v>
      </c>
      <c r="I85" s="12" t="s">
        <v>23</v>
      </c>
      <c r="J85" s="12">
        <f t="shared" si="3"/>
        <v>13</v>
      </c>
      <c r="K85" s="18" t="s">
        <v>138</v>
      </c>
      <c r="L85" s="15" t="s">
        <v>25</v>
      </c>
      <c r="M85" s="15" t="s">
        <v>26</v>
      </c>
      <c r="N85" s="21" t="s">
        <v>160</v>
      </c>
      <c r="O85" s="21" t="s">
        <v>162</v>
      </c>
      <c r="P85" s="21">
        <v>38</v>
      </c>
      <c r="Q85">
        <v>1</v>
      </c>
      <c r="R85" s="2">
        <v>1266</v>
      </c>
      <c r="S85" s="2">
        <v>2320</v>
      </c>
      <c r="T85" s="2">
        <v>1054</v>
      </c>
      <c r="U85" s="2">
        <f t="shared" si="4"/>
        <v>1266</v>
      </c>
      <c r="V85" s="2">
        <f t="shared" si="5"/>
        <v>2320</v>
      </c>
    </row>
    <row r="86" spans="1:22" x14ac:dyDescent="0.3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171</v>
      </c>
      <c r="I86" s="12" t="s">
        <v>59</v>
      </c>
      <c r="J86" s="12">
        <f t="shared" si="3"/>
        <v>6</v>
      </c>
      <c r="K86" s="18" t="s">
        <v>72</v>
      </c>
      <c r="L86" s="15" t="s">
        <v>25</v>
      </c>
      <c r="M86" s="15" t="s">
        <v>26</v>
      </c>
      <c r="N86" s="21" t="s">
        <v>160</v>
      </c>
      <c r="O86" s="21" t="s">
        <v>162</v>
      </c>
      <c r="P86" s="21">
        <v>42</v>
      </c>
      <c r="Q86">
        <v>1</v>
      </c>
      <c r="R86" s="2">
        <v>1266</v>
      </c>
      <c r="S86" s="2">
        <v>2320</v>
      </c>
      <c r="T86" s="2">
        <v>1054</v>
      </c>
      <c r="U86" s="2">
        <f t="shared" si="4"/>
        <v>1266</v>
      </c>
      <c r="V86" s="2">
        <f t="shared" si="5"/>
        <v>2320</v>
      </c>
    </row>
    <row r="87" spans="1:22" x14ac:dyDescent="0.3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171</v>
      </c>
      <c r="I87" s="12" t="s">
        <v>23</v>
      </c>
      <c r="J87" s="12">
        <f t="shared" si="3"/>
        <v>13</v>
      </c>
      <c r="K87" s="18" t="s">
        <v>60</v>
      </c>
      <c r="L87" s="15" t="s">
        <v>25</v>
      </c>
      <c r="M87" s="15" t="s">
        <v>26</v>
      </c>
      <c r="N87" s="21" t="s">
        <v>160</v>
      </c>
      <c r="O87" s="21" t="s">
        <v>161</v>
      </c>
      <c r="P87" s="21">
        <v>42</v>
      </c>
      <c r="Q87">
        <v>1</v>
      </c>
      <c r="R87" s="2">
        <v>1252</v>
      </c>
      <c r="S87" s="2">
        <v>2295</v>
      </c>
      <c r="T87" s="2">
        <v>1043</v>
      </c>
      <c r="U87" s="2">
        <f t="shared" si="4"/>
        <v>1252</v>
      </c>
      <c r="V87" s="2">
        <f t="shared" si="5"/>
        <v>2295</v>
      </c>
    </row>
    <row r="88" spans="1:22" x14ac:dyDescent="0.3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171</v>
      </c>
      <c r="I88" s="12" t="s">
        <v>37</v>
      </c>
      <c r="J88" s="12">
        <f t="shared" si="3"/>
        <v>9</v>
      </c>
      <c r="K88" s="18" t="s">
        <v>24</v>
      </c>
      <c r="L88" s="15" t="s">
        <v>25</v>
      </c>
      <c r="M88" s="15" t="s">
        <v>26</v>
      </c>
      <c r="N88" s="21" t="s">
        <v>164</v>
      </c>
      <c r="O88" s="21" t="s">
        <v>161</v>
      </c>
      <c r="P88" s="21">
        <v>42</v>
      </c>
      <c r="Q88">
        <v>1</v>
      </c>
      <c r="R88" s="2">
        <v>295</v>
      </c>
      <c r="S88" s="2">
        <v>540</v>
      </c>
      <c r="T88" s="2">
        <v>245</v>
      </c>
      <c r="U88" s="2">
        <f t="shared" si="4"/>
        <v>295</v>
      </c>
      <c r="V88" s="2">
        <f t="shared" si="5"/>
        <v>540</v>
      </c>
    </row>
    <row r="89" spans="1:22" x14ac:dyDescent="0.3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172</v>
      </c>
      <c r="I89" s="12" t="s">
        <v>37</v>
      </c>
      <c r="J89" s="12">
        <f t="shared" si="3"/>
        <v>9</v>
      </c>
      <c r="K89" s="18" t="s">
        <v>54</v>
      </c>
      <c r="L89" s="15" t="s">
        <v>25</v>
      </c>
      <c r="M89" s="15" t="s">
        <v>26</v>
      </c>
      <c r="N89" s="21" t="s">
        <v>160</v>
      </c>
      <c r="O89" s="21" t="s">
        <v>161</v>
      </c>
      <c r="P89" s="21">
        <v>42</v>
      </c>
      <c r="Q89">
        <v>4</v>
      </c>
      <c r="R89" s="2">
        <v>1252</v>
      </c>
      <c r="S89" s="2">
        <v>2295</v>
      </c>
      <c r="T89" s="2">
        <v>4172</v>
      </c>
      <c r="U89" s="2">
        <f t="shared" si="4"/>
        <v>5008</v>
      </c>
      <c r="V89" s="2">
        <f t="shared" si="5"/>
        <v>9180</v>
      </c>
    </row>
  </sheetData>
  <conditionalFormatting sqref="A1:A1048576">
    <cfRule type="duplicateValues" dxfId="37" priority="6"/>
  </conditionalFormatting>
  <conditionalFormatting sqref="A1:F89">
    <cfRule type="containsText" dxfId="36" priority="5" operator="containsText" text="Sales_Order #">
      <formula>NOT(ISERROR(SEARCH("Sales_Order #",A1)))</formula>
    </cfRule>
  </conditionalFormatting>
  <conditionalFormatting sqref="H1:V89 A1:F89">
    <cfRule type="containsBlanks" dxfId="35" priority="3">
      <formula>LEN(TRIM(A1))=0</formula>
    </cfRule>
  </conditionalFormatting>
  <conditionalFormatting sqref="H1:V89">
    <cfRule type="containsText" dxfId="34" priority="4" operator="containsText" text="Sales_Order #">
      <formula>NOT(ISERROR(SEARCH("Sales_Order #",H1)))</formula>
    </cfRule>
  </conditionalFormatting>
  <conditionalFormatting sqref="R1:R1048576">
    <cfRule type="cellIs" dxfId="33" priority="2" operator="equal">
      <formula>"$956.00 "</formula>
    </cfRule>
  </conditionalFormatting>
  <conditionalFormatting sqref="R1:S1048576">
    <cfRule type="cellIs" dxfId="3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D22D-B5BB-4D17-88AE-3F3773184F46}">
  <dimension ref="A1:V89"/>
  <sheetViews>
    <sheetView workbookViewId="0">
      <selection activeCell="G1" sqref="G1"/>
    </sheetView>
  </sheetViews>
  <sheetFormatPr defaultRowHeight="14.4" x14ac:dyDescent="0.3"/>
  <cols>
    <col min="1" max="1" width="15.109375" customWidth="1"/>
    <col min="2" max="2" width="10.6640625" bestFit="1" customWidth="1"/>
    <col min="4" max="4" width="10.109375" bestFit="1" customWidth="1"/>
    <col min="6" max="6" width="10" customWidth="1"/>
    <col min="7" max="7" width="19.5546875" customWidth="1"/>
    <col min="8" max="8" width="9.44140625" customWidth="1"/>
    <col min="9" max="9" width="15.5546875" style="12" customWidth="1"/>
    <col min="10" max="10" width="14" style="12" customWidth="1"/>
    <col min="11" max="11" width="19.6640625" style="18" customWidth="1"/>
    <col min="12" max="12" width="17.6640625" style="15" customWidth="1"/>
    <col min="13" max="13" width="16.5546875" style="15" customWidth="1"/>
    <col min="14" max="14" width="27.5546875" style="15" customWidth="1"/>
    <col min="15" max="15" width="12.109375" style="15" customWidth="1"/>
    <col min="16" max="16" width="9.109375" style="15" customWidth="1"/>
    <col min="17" max="17" width="10.33203125" customWidth="1"/>
    <col min="18" max="18" width="10" customWidth="1"/>
    <col min="19" max="19" width="11.88671875" customWidth="1"/>
    <col min="20" max="21" width="9.88671875" bestFit="1" customWidth="1"/>
    <col min="22" max="22" width="10.88671875" bestFit="1" customWidth="1"/>
  </cols>
  <sheetData>
    <row r="1" spans="1:22" s="10" customFormat="1" ht="97.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t="s">
        <v>6</v>
      </c>
      <c r="H1" s="10" t="s">
        <v>7</v>
      </c>
      <c r="I1" s="11" t="s">
        <v>8</v>
      </c>
      <c r="J1" s="11" t="s">
        <v>170</v>
      </c>
      <c r="K1" s="17" t="s">
        <v>9</v>
      </c>
      <c r="L1" s="14" t="s">
        <v>10</v>
      </c>
      <c r="M1" s="14" t="s">
        <v>11</v>
      </c>
      <c r="N1" s="20" t="s">
        <v>168</v>
      </c>
      <c r="O1" s="20" t="s">
        <v>166</v>
      </c>
      <c r="P1" s="20" t="s">
        <v>167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</row>
    <row r="2" spans="1:22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171</v>
      </c>
      <c r="I2" s="12" t="s">
        <v>29</v>
      </c>
      <c r="J2" s="12">
        <f>LEN(I2)</f>
        <v>14</v>
      </c>
      <c r="K2" s="18" t="s">
        <v>24</v>
      </c>
      <c r="L2" s="15" t="s">
        <v>25</v>
      </c>
      <c r="M2" s="15" t="s">
        <v>26</v>
      </c>
      <c r="N2" s="21" t="s">
        <v>160</v>
      </c>
      <c r="O2" s="21" t="s">
        <v>161</v>
      </c>
      <c r="P2" s="21">
        <v>46</v>
      </c>
      <c r="Q2">
        <v>4</v>
      </c>
      <c r="R2" s="2">
        <v>1252</v>
      </c>
      <c r="S2" s="2">
        <v>2295</v>
      </c>
      <c r="T2" s="2">
        <v>4172</v>
      </c>
      <c r="U2" s="2">
        <f>Q2*R2</f>
        <v>5008</v>
      </c>
      <c r="V2" s="2">
        <f>Q2*S2</f>
        <v>9180</v>
      </c>
    </row>
    <row r="3" spans="1:22" x14ac:dyDescent="0.3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172</v>
      </c>
      <c r="I3" s="12" t="s">
        <v>23</v>
      </c>
      <c r="J3" s="12">
        <f t="shared" ref="J3:J66" si="0">LEN(I3)</f>
        <v>13</v>
      </c>
      <c r="K3" s="18" t="s">
        <v>30</v>
      </c>
      <c r="L3" s="15" t="s">
        <v>25</v>
      </c>
      <c r="M3" s="15" t="s">
        <v>26</v>
      </c>
      <c r="N3" s="21" t="s">
        <v>160</v>
      </c>
      <c r="O3" s="21" t="s">
        <v>162</v>
      </c>
      <c r="P3" s="21">
        <v>42</v>
      </c>
      <c r="Q3">
        <v>1</v>
      </c>
      <c r="R3" s="2">
        <v>1266</v>
      </c>
      <c r="S3" s="2">
        <v>2320</v>
      </c>
      <c r="T3" s="2">
        <v>1054</v>
      </c>
      <c r="U3" s="2">
        <f t="shared" ref="U3:U66" si="1">Q3*R3</f>
        <v>1266</v>
      </c>
      <c r="V3" s="2">
        <f t="shared" ref="V3:V66" si="2">Q3*S3</f>
        <v>2320</v>
      </c>
    </row>
    <row r="4" spans="1:22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172</v>
      </c>
      <c r="I4" s="12" t="s">
        <v>37</v>
      </c>
      <c r="J4" s="12">
        <f t="shared" si="0"/>
        <v>9</v>
      </c>
      <c r="K4" s="18" t="s">
        <v>24</v>
      </c>
      <c r="L4" s="15" t="s">
        <v>25</v>
      </c>
      <c r="M4" s="15" t="s">
        <v>26</v>
      </c>
      <c r="N4" s="21" t="s">
        <v>163</v>
      </c>
      <c r="O4" s="21" t="s">
        <v>162</v>
      </c>
      <c r="P4" s="21">
        <v>46</v>
      </c>
      <c r="Q4">
        <v>2</v>
      </c>
      <c r="R4" s="2">
        <v>420</v>
      </c>
      <c r="S4" s="2">
        <v>769</v>
      </c>
      <c r="T4" s="2">
        <v>698</v>
      </c>
      <c r="U4" s="2">
        <f t="shared" si="1"/>
        <v>840</v>
      </c>
      <c r="V4" s="2">
        <f t="shared" si="2"/>
        <v>1538</v>
      </c>
    </row>
    <row r="5" spans="1:22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171</v>
      </c>
      <c r="I5" s="12" t="s">
        <v>23</v>
      </c>
      <c r="J5" s="12">
        <f t="shared" si="0"/>
        <v>13</v>
      </c>
      <c r="K5" s="18" t="s">
        <v>38</v>
      </c>
      <c r="L5" s="15" t="s">
        <v>25</v>
      </c>
      <c r="M5" s="15" t="s">
        <v>26</v>
      </c>
      <c r="N5" s="21" t="s">
        <v>163</v>
      </c>
      <c r="O5" s="21" t="s">
        <v>162</v>
      </c>
      <c r="P5" s="21">
        <v>42</v>
      </c>
      <c r="Q5">
        <v>1</v>
      </c>
      <c r="R5" s="2">
        <v>420</v>
      </c>
      <c r="S5" s="2">
        <v>769</v>
      </c>
      <c r="T5" s="2">
        <v>349</v>
      </c>
      <c r="U5" s="2">
        <f t="shared" si="1"/>
        <v>420</v>
      </c>
      <c r="V5" s="2">
        <f t="shared" si="2"/>
        <v>769</v>
      </c>
    </row>
    <row r="6" spans="1:22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171</v>
      </c>
      <c r="I6" s="12" t="s">
        <v>29</v>
      </c>
      <c r="J6" s="12">
        <f t="shared" si="0"/>
        <v>14</v>
      </c>
      <c r="K6" s="18" t="s">
        <v>24</v>
      </c>
      <c r="L6" s="15" t="s">
        <v>25</v>
      </c>
      <c r="M6" s="15" t="s">
        <v>26</v>
      </c>
      <c r="N6" s="21" t="s">
        <v>160</v>
      </c>
      <c r="O6" s="21" t="s">
        <v>161</v>
      </c>
      <c r="P6" s="21">
        <v>46</v>
      </c>
      <c r="Q6">
        <v>2</v>
      </c>
      <c r="R6" s="2">
        <v>1252</v>
      </c>
      <c r="S6" s="2">
        <v>2295</v>
      </c>
      <c r="T6" s="2">
        <v>2086</v>
      </c>
      <c r="U6" s="2">
        <f t="shared" si="1"/>
        <v>2504</v>
      </c>
      <c r="V6" s="2">
        <f t="shared" si="2"/>
        <v>4590</v>
      </c>
    </row>
    <row r="7" spans="1:22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171</v>
      </c>
      <c r="I7" s="12" t="s">
        <v>23</v>
      </c>
      <c r="J7" s="12">
        <f t="shared" si="0"/>
        <v>13</v>
      </c>
      <c r="K7" s="18" t="s">
        <v>30</v>
      </c>
      <c r="L7" s="15" t="s">
        <v>25</v>
      </c>
      <c r="M7" s="15" t="s">
        <v>26</v>
      </c>
      <c r="N7" s="21" t="s">
        <v>160</v>
      </c>
      <c r="O7" s="21" t="s">
        <v>161</v>
      </c>
      <c r="P7" s="21">
        <v>38</v>
      </c>
      <c r="Q7">
        <v>1</v>
      </c>
      <c r="R7" s="2">
        <v>1252</v>
      </c>
      <c r="S7" s="2">
        <v>2295</v>
      </c>
      <c r="T7" s="2">
        <v>1043</v>
      </c>
      <c r="U7" s="2">
        <f t="shared" si="1"/>
        <v>1252</v>
      </c>
      <c r="V7" s="2">
        <f t="shared" si="2"/>
        <v>2295</v>
      </c>
    </row>
    <row r="8" spans="1:22" s="5" customFormat="1" x14ac:dyDescent="0.3">
      <c r="A8" s="7" t="s">
        <v>45</v>
      </c>
      <c r="B8" s="8">
        <v>44533</v>
      </c>
      <c r="C8" s="5">
        <v>3</v>
      </c>
      <c r="D8" s="5" t="s">
        <v>20</v>
      </c>
      <c r="E8" s="5">
        <v>2021</v>
      </c>
      <c r="F8" s="5">
        <v>37</v>
      </c>
      <c r="G8" t="s">
        <v>21</v>
      </c>
      <c r="H8" s="5" t="s">
        <v>172</v>
      </c>
      <c r="I8" s="13" t="s">
        <v>37</v>
      </c>
      <c r="J8" s="12">
        <f t="shared" si="0"/>
        <v>9</v>
      </c>
      <c r="K8" s="19" t="s">
        <v>47</v>
      </c>
      <c r="L8" s="16" t="s">
        <v>25</v>
      </c>
      <c r="M8" s="16" t="s">
        <v>26</v>
      </c>
      <c r="N8" s="22" t="s">
        <v>160</v>
      </c>
      <c r="O8" s="22" t="s">
        <v>161</v>
      </c>
      <c r="P8" s="22">
        <v>46</v>
      </c>
      <c r="Q8" s="5">
        <v>1</v>
      </c>
      <c r="R8" s="6">
        <v>1252</v>
      </c>
      <c r="S8" s="6">
        <v>2295</v>
      </c>
      <c r="T8" s="6">
        <v>1043</v>
      </c>
      <c r="U8" s="6">
        <f t="shared" si="1"/>
        <v>1252</v>
      </c>
      <c r="V8" s="6">
        <f t="shared" si="2"/>
        <v>2295</v>
      </c>
    </row>
    <row r="9" spans="1:22" x14ac:dyDescent="0.3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171</v>
      </c>
      <c r="I9" s="12" t="s">
        <v>23</v>
      </c>
      <c r="J9" s="12">
        <f t="shared" si="0"/>
        <v>13</v>
      </c>
      <c r="K9" s="18" t="s">
        <v>38</v>
      </c>
      <c r="L9" s="15" t="s">
        <v>25</v>
      </c>
      <c r="M9" s="15" t="s">
        <v>26</v>
      </c>
      <c r="N9" s="21" t="s">
        <v>163</v>
      </c>
      <c r="O9" s="21" t="s">
        <v>162</v>
      </c>
      <c r="P9" s="21">
        <v>42</v>
      </c>
      <c r="Q9">
        <v>4</v>
      </c>
      <c r="R9" s="2">
        <v>420</v>
      </c>
      <c r="S9" s="2">
        <v>769</v>
      </c>
      <c r="T9" s="2">
        <v>1396</v>
      </c>
      <c r="U9" s="2">
        <f t="shared" si="1"/>
        <v>1680</v>
      </c>
      <c r="V9" s="2">
        <f t="shared" si="2"/>
        <v>3076</v>
      </c>
    </row>
    <row r="10" spans="1:22" x14ac:dyDescent="0.3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171</v>
      </c>
      <c r="I10" s="12" t="s">
        <v>51</v>
      </c>
      <c r="J10" s="12">
        <f t="shared" si="0"/>
        <v>7</v>
      </c>
      <c r="K10" s="18" t="s">
        <v>24</v>
      </c>
      <c r="L10" s="15" t="s">
        <v>25</v>
      </c>
      <c r="M10" s="15" t="s">
        <v>26</v>
      </c>
      <c r="N10" s="21" t="s">
        <v>160</v>
      </c>
      <c r="O10" s="21" t="s">
        <v>161</v>
      </c>
      <c r="P10" s="21">
        <v>46</v>
      </c>
      <c r="Q10">
        <v>4</v>
      </c>
      <c r="R10" s="2">
        <v>1252</v>
      </c>
      <c r="S10" s="2">
        <v>2295</v>
      </c>
      <c r="T10" s="2">
        <v>4172</v>
      </c>
      <c r="U10" s="2">
        <f t="shared" si="1"/>
        <v>5008</v>
      </c>
      <c r="V10" s="2">
        <f t="shared" si="2"/>
        <v>9180</v>
      </c>
    </row>
    <row r="11" spans="1:22" x14ac:dyDescent="0.3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172</v>
      </c>
      <c r="I11" s="12" t="s">
        <v>37</v>
      </c>
      <c r="J11" s="12">
        <f t="shared" si="0"/>
        <v>9</v>
      </c>
      <c r="K11" s="18" t="s">
        <v>52</v>
      </c>
      <c r="L11" s="15" t="s">
        <v>25</v>
      </c>
      <c r="M11" s="15" t="s">
        <v>26</v>
      </c>
      <c r="N11" s="21" t="s">
        <v>160</v>
      </c>
      <c r="O11" s="21" t="s">
        <v>161</v>
      </c>
      <c r="P11" s="21">
        <v>38</v>
      </c>
      <c r="Q11">
        <v>4</v>
      </c>
      <c r="R11" s="2">
        <v>1252</v>
      </c>
      <c r="S11" s="2">
        <v>2295</v>
      </c>
      <c r="T11" s="2">
        <v>4172</v>
      </c>
      <c r="U11" s="2">
        <f t="shared" si="1"/>
        <v>5008</v>
      </c>
      <c r="V11" s="2">
        <f t="shared" si="2"/>
        <v>9180</v>
      </c>
    </row>
    <row r="12" spans="1:22" x14ac:dyDescent="0.3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171</v>
      </c>
      <c r="I12" s="12" t="s">
        <v>23</v>
      </c>
      <c r="J12" s="12">
        <f t="shared" si="0"/>
        <v>13</v>
      </c>
      <c r="K12" s="18" t="s">
        <v>54</v>
      </c>
      <c r="L12" s="15" t="s">
        <v>25</v>
      </c>
      <c r="M12" s="15" t="s">
        <v>26</v>
      </c>
      <c r="N12" s="21" t="s">
        <v>160</v>
      </c>
      <c r="O12" s="21" t="s">
        <v>162</v>
      </c>
      <c r="P12" s="21">
        <v>38</v>
      </c>
      <c r="Q12">
        <v>1</v>
      </c>
      <c r="R12" s="2">
        <v>1266</v>
      </c>
      <c r="S12" s="2">
        <v>2320</v>
      </c>
      <c r="T12" s="2">
        <v>1054</v>
      </c>
      <c r="U12" s="2">
        <f t="shared" si="1"/>
        <v>1266</v>
      </c>
      <c r="V12" s="2">
        <f t="shared" si="2"/>
        <v>2320</v>
      </c>
    </row>
    <row r="13" spans="1:22" x14ac:dyDescent="0.3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171</v>
      </c>
      <c r="I13" s="12" t="s">
        <v>29</v>
      </c>
      <c r="J13" s="12">
        <f t="shared" si="0"/>
        <v>14</v>
      </c>
      <c r="K13" s="18" t="s">
        <v>24</v>
      </c>
      <c r="L13" s="15" t="s">
        <v>25</v>
      </c>
      <c r="M13" s="15" t="s">
        <v>26</v>
      </c>
      <c r="N13" s="21" t="s">
        <v>160</v>
      </c>
      <c r="O13" s="21" t="s">
        <v>161</v>
      </c>
      <c r="P13" s="21">
        <v>46</v>
      </c>
      <c r="Q13">
        <v>1</v>
      </c>
      <c r="R13" s="2">
        <v>1252</v>
      </c>
      <c r="S13" s="2">
        <v>2295</v>
      </c>
      <c r="T13" s="2">
        <v>1043</v>
      </c>
      <c r="U13" s="2">
        <f t="shared" si="1"/>
        <v>1252</v>
      </c>
      <c r="V13" s="2">
        <f t="shared" si="2"/>
        <v>2295</v>
      </c>
    </row>
    <row r="14" spans="1:22" x14ac:dyDescent="0.3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172</v>
      </c>
      <c r="I14" s="12" t="s">
        <v>59</v>
      </c>
      <c r="J14" s="12">
        <f t="shared" si="0"/>
        <v>6</v>
      </c>
      <c r="K14" s="18" t="s">
        <v>30</v>
      </c>
      <c r="L14" s="15" t="s">
        <v>25</v>
      </c>
      <c r="M14" s="15" t="s">
        <v>26</v>
      </c>
      <c r="N14" s="21" t="s">
        <v>163</v>
      </c>
      <c r="O14" s="21" t="s">
        <v>162</v>
      </c>
      <c r="P14" s="21">
        <v>46</v>
      </c>
      <c r="Q14">
        <v>3</v>
      </c>
      <c r="R14" s="2">
        <v>420</v>
      </c>
      <c r="S14" s="2">
        <v>769</v>
      </c>
      <c r="T14" s="2">
        <v>1047</v>
      </c>
      <c r="U14" s="2">
        <f t="shared" si="1"/>
        <v>1260</v>
      </c>
      <c r="V14" s="2">
        <f t="shared" si="2"/>
        <v>2307</v>
      </c>
    </row>
    <row r="15" spans="1:22" x14ac:dyDescent="0.3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172</v>
      </c>
      <c r="I15" s="12" t="s">
        <v>37</v>
      </c>
      <c r="J15" s="12">
        <f t="shared" si="0"/>
        <v>9</v>
      </c>
      <c r="K15" s="18" t="s">
        <v>60</v>
      </c>
      <c r="L15" s="15" t="s">
        <v>25</v>
      </c>
      <c r="M15" s="15" t="s">
        <v>26</v>
      </c>
      <c r="N15" s="21" t="s">
        <v>160</v>
      </c>
      <c r="O15" s="21" t="s">
        <v>161</v>
      </c>
      <c r="P15" s="21">
        <v>46</v>
      </c>
      <c r="Q15">
        <v>1</v>
      </c>
      <c r="R15" s="2">
        <v>1252</v>
      </c>
      <c r="S15" s="2">
        <v>2295</v>
      </c>
      <c r="T15" s="2">
        <v>1043</v>
      </c>
      <c r="U15" s="2">
        <f t="shared" si="1"/>
        <v>1252</v>
      </c>
      <c r="V15" s="2">
        <f t="shared" si="2"/>
        <v>2295</v>
      </c>
    </row>
    <row r="16" spans="1:22" x14ac:dyDescent="0.3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169</v>
      </c>
      <c r="H16" t="s">
        <v>172</v>
      </c>
      <c r="I16" s="12" t="s">
        <v>29</v>
      </c>
      <c r="J16" s="12">
        <f t="shared" si="0"/>
        <v>14</v>
      </c>
      <c r="K16" s="18" t="s">
        <v>38</v>
      </c>
      <c r="L16" s="15" t="s">
        <v>25</v>
      </c>
      <c r="M16" s="15" t="s">
        <v>26</v>
      </c>
      <c r="N16" s="21" t="s">
        <v>160</v>
      </c>
      <c r="O16" s="21" t="s">
        <v>161</v>
      </c>
      <c r="P16" s="21">
        <v>42</v>
      </c>
      <c r="Q16">
        <v>1</v>
      </c>
      <c r="R16" s="2">
        <v>1252</v>
      </c>
      <c r="S16" s="2">
        <v>2295</v>
      </c>
      <c r="T16" s="2">
        <v>1043</v>
      </c>
      <c r="U16" s="2">
        <f t="shared" si="1"/>
        <v>1252</v>
      </c>
      <c r="V16" s="2">
        <f t="shared" si="2"/>
        <v>2295</v>
      </c>
    </row>
    <row r="17" spans="1:22" x14ac:dyDescent="0.3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172</v>
      </c>
      <c r="I17" s="12" t="s">
        <v>23</v>
      </c>
      <c r="J17" s="12">
        <f t="shared" si="0"/>
        <v>13</v>
      </c>
      <c r="K17" s="18" t="s">
        <v>30</v>
      </c>
      <c r="L17" s="15" t="s">
        <v>25</v>
      </c>
      <c r="M17" s="15" t="s">
        <v>26</v>
      </c>
      <c r="N17" s="21" t="s">
        <v>160</v>
      </c>
      <c r="O17" s="21" t="s">
        <v>162</v>
      </c>
      <c r="P17" s="21">
        <v>38</v>
      </c>
      <c r="Q17">
        <v>1</v>
      </c>
      <c r="R17" s="2">
        <v>1266</v>
      </c>
      <c r="S17" s="2">
        <v>2320</v>
      </c>
      <c r="T17" s="2">
        <v>1054</v>
      </c>
      <c r="U17" s="2">
        <f t="shared" si="1"/>
        <v>1266</v>
      </c>
      <c r="V17" s="2">
        <f t="shared" si="2"/>
        <v>2320</v>
      </c>
    </row>
    <row r="18" spans="1:22" x14ac:dyDescent="0.3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172</v>
      </c>
      <c r="I18" s="12" t="s">
        <v>23</v>
      </c>
      <c r="J18" s="12">
        <f t="shared" si="0"/>
        <v>13</v>
      </c>
      <c r="K18" s="18" t="s">
        <v>24</v>
      </c>
      <c r="L18" s="15" t="s">
        <v>25</v>
      </c>
      <c r="M18" s="15" t="s">
        <v>26</v>
      </c>
      <c r="N18" s="21" t="s">
        <v>163</v>
      </c>
      <c r="O18" s="21" t="s">
        <v>162</v>
      </c>
      <c r="P18" s="21">
        <v>38</v>
      </c>
      <c r="Q18">
        <v>4</v>
      </c>
      <c r="R18" s="2">
        <v>420</v>
      </c>
      <c r="S18" s="2">
        <v>769</v>
      </c>
      <c r="T18" s="2">
        <v>1396</v>
      </c>
      <c r="U18" s="2">
        <f t="shared" si="1"/>
        <v>1680</v>
      </c>
      <c r="V18" s="2">
        <f t="shared" si="2"/>
        <v>3076</v>
      </c>
    </row>
    <row r="19" spans="1:22" x14ac:dyDescent="0.3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172</v>
      </c>
      <c r="I19" s="12" t="s">
        <v>37</v>
      </c>
      <c r="J19" s="12">
        <f t="shared" si="0"/>
        <v>9</v>
      </c>
      <c r="K19" s="18" t="s">
        <v>24</v>
      </c>
      <c r="L19" s="15" t="s">
        <v>25</v>
      </c>
      <c r="M19" s="15" t="s">
        <v>26</v>
      </c>
      <c r="N19" s="21" t="s">
        <v>160</v>
      </c>
      <c r="O19" s="21" t="s">
        <v>162</v>
      </c>
      <c r="P19" s="21">
        <v>42</v>
      </c>
      <c r="Q19">
        <v>2</v>
      </c>
      <c r="R19" s="2">
        <v>1266</v>
      </c>
      <c r="S19" s="2">
        <v>2320</v>
      </c>
      <c r="T19" s="2">
        <v>2108</v>
      </c>
      <c r="U19" s="2">
        <f t="shared" si="1"/>
        <v>2532</v>
      </c>
      <c r="V19" s="2">
        <f t="shared" si="2"/>
        <v>4640</v>
      </c>
    </row>
    <row r="20" spans="1:22" x14ac:dyDescent="0.3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171</v>
      </c>
      <c r="I20" s="12" t="s">
        <v>59</v>
      </c>
      <c r="J20" s="12">
        <f t="shared" si="0"/>
        <v>6</v>
      </c>
      <c r="K20" s="18" t="s">
        <v>38</v>
      </c>
      <c r="L20" s="15" t="s">
        <v>25</v>
      </c>
      <c r="M20" s="15" t="s">
        <v>26</v>
      </c>
      <c r="N20" s="21" t="s">
        <v>164</v>
      </c>
      <c r="O20" s="21" t="s">
        <v>162</v>
      </c>
      <c r="P20" s="21">
        <v>42</v>
      </c>
      <c r="Q20">
        <v>4</v>
      </c>
      <c r="R20" s="2">
        <v>308</v>
      </c>
      <c r="S20" s="2">
        <v>565</v>
      </c>
      <c r="T20" s="2">
        <v>1028</v>
      </c>
      <c r="U20" s="2">
        <f t="shared" si="1"/>
        <v>1232</v>
      </c>
      <c r="V20" s="2">
        <f t="shared" si="2"/>
        <v>2260</v>
      </c>
    </row>
    <row r="21" spans="1:22" x14ac:dyDescent="0.3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171</v>
      </c>
      <c r="I21" s="12" t="s">
        <v>23</v>
      </c>
      <c r="J21" s="12">
        <f t="shared" si="0"/>
        <v>13</v>
      </c>
      <c r="K21" s="18" t="s">
        <v>60</v>
      </c>
      <c r="L21" s="15" t="s">
        <v>25</v>
      </c>
      <c r="M21" s="15" t="s">
        <v>26</v>
      </c>
      <c r="N21" s="21" t="s">
        <v>160</v>
      </c>
      <c r="O21" s="21" t="s">
        <v>162</v>
      </c>
      <c r="P21" s="21">
        <v>38</v>
      </c>
      <c r="Q21">
        <v>4</v>
      </c>
      <c r="R21" s="2">
        <v>1266</v>
      </c>
      <c r="S21" s="2">
        <v>2320</v>
      </c>
      <c r="T21" s="2">
        <v>4216</v>
      </c>
      <c r="U21" s="2">
        <f t="shared" si="1"/>
        <v>5064</v>
      </c>
      <c r="V21" s="2">
        <f t="shared" si="2"/>
        <v>9280</v>
      </c>
    </row>
    <row r="22" spans="1:22" x14ac:dyDescent="0.3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171</v>
      </c>
      <c r="I22" s="12" t="s">
        <v>23</v>
      </c>
      <c r="J22" s="12">
        <f t="shared" si="0"/>
        <v>13</v>
      </c>
      <c r="K22" s="18" t="s">
        <v>72</v>
      </c>
      <c r="L22" s="15" t="s">
        <v>25</v>
      </c>
      <c r="M22" s="15" t="s">
        <v>26</v>
      </c>
      <c r="N22" s="21" t="s">
        <v>160</v>
      </c>
      <c r="O22" s="21" t="s">
        <v>161</v>
      </c>
      <c r="P22" s="21">
        <v>42</v>
      </c>
      <c r="Q22">
        <v>2</v>
      </c>
      <c r="R22" s="2">
        <v>1252</v>
      </c>
      <c r="S22" s="2">
        <v>2295</v>
      </c>
      <c r="T22" s="2">
        <v>2086</v>
      </c>
      <c r="U22" s="2">
        <f t="shared" si="1"/>
        <v>2504</v>
      </c>
      <c r="V22" s="2">
        <f t="shared" si="2"/>
        <v>4590</v>
      </c>
    </row>
    <row r="23" spans="1:22" x14ac:dyDescent="0.3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171</v>
      </c>
      <c r="I23" s="12" t="s">
        <v>37</v>
      </c>
      <c r="J23" s="12">
        <f t="shared" si="0"/>
        <v>9</v>
      </c>
      <c r="K23" s="18" t="s">
        <v>24</v>
      </c>
      <c r="L23" s="15" t="s">
        <v>25</v>
      </c>
      <c r="M23" s="15" t="s">
        <v>26</v>
      </c>
      <c r="N23" s="21" t="s">
        <v>164</v>
      </c>
      <c r="O23" s="21" t="s">
        <v>161</v>
      </c>
      <c r="P23" s="21">
        <v>42</v>
      </c>
      <c r="Q23">
        <v>4</v>
      </c>
      <c r="R23" s="2">
        <v>295</v>
      </c>
      <c r="S23" s="2">
        <v>540</v>
      </c>
      <c r="T23" s="2">
        <v>245</v>
      </c>
      <c r="U23" s="2">
        <f t="shared" si="1"/>
        <v>1180</v>
      </c>
      <c r="V23" s="2">
        <f t="shared" si="2"/>
        <v>2160</v>
      </c>
    </row>
    <row r="24" spans="1:22" x14ac:dyDescent="0.3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171</v>
      </c>
      <c r="I24" s="12" t="s">
        <v>51</v>
      </c>
      <c r="J24" s="12">
        <f t="shared" si="0"/>
        <v>7</v>
      </c>
      <c r="K24" s="18" t="s">
        <v>76</v>
      </c>
      <c r="L24" s="15" t="s">
        <v>25</v>
      </c>
      <c r="M24" s="15" t="s">
        <v>26</v>
      </c>
      <c r="N24" s="21" t="s">
        <v>165</v>
      </c>
      <c r="O24" s="21" t="s">
        <v>161</v>
      </c>
      <c r="P24" s="21">
        <v>38</v>
      </c>
      <c r="Q24">
        <v>2</v>
      </c>
      <c r="R24" s="2">
        <v>1898</v>
      </c>
      <c r="S24" s="2">
        <v>3375</v>
      </c>
      <c r="T24" s="2">
        <v>2954</v>
      </c>
      <c r="U24" s="2">
        <f t="shared" si="1"/>
        <v>3796</v>
      </c>
      <c r="V24" s="2">
        <f t="shared" si="2"/>
        <v>6750</v>
      </c>
    </row>
    <row r="25" spans="1:22" x14ac:dyDescent="0.3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171</v>
      </c>
      <c r="I25" s="12" t="s">
        <v>23</v>
      </c>
      <c r="J25" s="12">
        <f t="shared" si="0"/>
        <v>13</v>
      </c>
      <c r="K25" s="18" t="s">
        <v>79</v>
      </c>
      <c r="L25" s="15" t="s">
        <v>25</v>
      </c>
      <c r="M25" s="15" t="s">
        <v>26</v>
      </c>
      <c r="N25" s="21" t="s">
        <v>160</v>
      </c>
      <c r="O25" s="21" t="s">
        <v>162</v>
      </c>
      <c r="P25" s="21">
        <v>42</v>
      </c>
      <c r="Q25">
        <v>1</v>
      </c>
      <c r="R25" s="2">
        <v>1266</v>
      </c>
      <c r="S25" s="2">
        <v>2320</v>
      </c>
      <c r="T25" s="2">
        <v>1054</v>
      </c>
      <c r="U25" s="2">
        <f t="shared" si="1"/>
        <v>1266</v>
      </c>
      <c r="V25" s="2">
        <f t="shared" si="2"/>
        <v>2320</v>
      </c>
    </row>
    <row r="26" spans="1:22" x14ac:dyDescent="0.3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171</v>
      </c>
      <c r="I26" s="12" t="s">
        <v>37</v>
      </c>
      <c r="J26" s="12">
        <f t="shared" si="0"/>
        <v>9</v>
      </c>
      <c r="K26" s="18" t="s">
        <v>24</v>
      </c>
      <c r="L26" s="15" t="s">
        <v>25</v>
      </c>
      <c r="M26" s="15" t="s">
        <v>26</v>
      </c>
      <c r="N26" s="21" t="s">
        <v>160</v>
      </c>
      <c r="O26" s="21" t="s">
        <v>161</v>
      </c>
      <c r="P26" s="21">
        <v>42</v>
      </c>
      <c r="Q26">
        <v>2</v>
      </c>
      <c r="R26" s="2">
        <v>1252</v>
      </c>
      <c r="S26" s="2">
        <v>2295</v>
      </c>
      <c r="T26" s="2">
        <v>2086</v>
      </c>
      <c r="U26" s="2">
        <f t="shared" si="1"/>
        <v>2504</v>
      </c>
      <c r="V26" s="2">
        <f t="shared" si="2"/>
        <v>4590</v>
      </c>
    </row>
    <row r="27" spans="1:22" x14ac:dyDescent="0.3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172</v>
      </c>
      <c r="I27" s="12" t="s">
        <v>29</v>
      </c>
      <c r="J27" s="12">
        <f t="shared" si="0"/>
        <v>14</v>
      </c>
      <c r="K27" s="18" t="s">
        <v>38</v>
      </c>
      <c r="L27" s="15" t="s">
        <v>25</v>
      </c>
      <c r="M27" s="15" t="s">
        <v>26</v>
      </c>
      <c r="N27" s="21" t="s">
        <v>160</v>
      </c>
      <c r="O27" s="21" t="s">
        <v>161</v>
      </c>
      <c r="P27" s="21">
        <v>42</v>
      </c>
      <c r="Q27">
        <v>2</v>
      </c>
      <c r="R27" s="2">
        <v>1252</v>
      </c>
      <c r="S27" s="2">
        <v>2295</v>
      </c>
      <c r="T27" s="2">
        <v>2086</v>
      </c>
      <c r="U27" s="2">
        <f t="shared" si="1"/>
        <v>2504</v>
      </c>
      <c r="V27" s="2">
        <f t="shared" si="2"/>
        <v>4590</v>
      </c>
    </row>
    <row r="28" spans="1:22" x14ac:dyDescent="0.3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172</v>
      </c>
      <c r="I28" s="12" t="s">
        <v>23</v>
      </c>
      <c r="J28" s="12">
        <f t="shared" si="0"/>
        <v>13</v>
      </c>
      <c r="K28" s="18" t="s">
        <v>30</v>
      </c>
      <c r="L28" s="15" t="s">
        <v>25</v>
      </c>
      <c r="M28" s="15" t="s">
        <v>26</v>
      </c>
      <c r="N28" s="21" t="s">
        <v>160</v>
      </c>
      <c r="O28" s="21" t="s">
        <v>161</v>
      </c>
      <c r="P28" s="21">
        <v>38</v>
      </c>
      <c r="Q28">
        <v>1</v>
      </c>
      <c r="R28" s="2">
        <v>1252</v>
      </c>
      <c r="S28" s="2">
        <v>2295</v>
      </c>
      <c r="T28" s="2">
        <v>1043</v>
      </c>
      <c r="U28" s="2">
        <f t="shared" si="1"/>
        <v>1252</v>
      </c>
      <c r="V28" s="2">
        <f t="shared" si="2"/>
        <v>2295</v>
      </c>
    </row>
    <row r="29" spans="1:22" x14ac:dyDescent="0.3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172</v>
      </c>
      <c r="I29" s="12" t="s">
        <v>23</v>
      </c>
      <c r="J29" s="12">
        <f t="shared" si="0"/>
        <v>13</v>
      </c>
      <c r="K29" s="18" t="s">
        <v>24</v>
      </c>
      <c r="L29" s="15" t="s">
        <v>25</v>
      </c>
      <c r="M29" s="15" t="s">
        <v>26</v>
      </c>
      <c r="N29" s="21" t="s">
        <v>164</v>
      </c>
      <c r="O29" s="21" t="s">
        <v>161</v>
      </c>
      <c r="P29" s="21">
        <v>40</v>
      </c>
      <c r="Q29">
        <v>1</v>
      </c>
      <c r="R29" s="2">
        <v>295</v>
      </c>
      <c r="S29" s="2">
        <v>540</v>
      </c>
      <c r="T29" s="2">
        <v>245</v>
      </c>
      <c r="U29" s="2">
        <f t="shared" si="1"/>
        <v>295</v>
      </c>
      <c r="V29" s="2">
        <f t="shared" si="2"/>
        <v>540</v>
      </c>
    </row>
    <row r="30" spans="1:22" x14ac:dyDescent="0.3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171</v>
      </c>
      <c r="I30" s="12" t="s">
        <v>37</v>
      </c>
      <c r="J30" s="12">
        <f t="shared" si="0"/>
        <v>9</v>
      </c>
      <c r="K30" s="18" t="s">
        <v>47</v>
      </c>
      <c r="L30" s="15" t="s">
        <v>25</v>
      </c>
      <c r="M30" s="15" t="s">
        <v>26</v>
      </c>
      <c r="N30" s="21" t="s">
        <v>165</v>
      </c>
      <c r="O30" s="21" t="s">
        <v>162</v>
      </c>
      <c r="P30" s="21">
        <v>44</v>
      </c>
      <c r="Q30">
        <v>1</v>
      </c>
      <c r="R30" s="2">
        <v>1912</v>
      </c>
      <c r="S30" s="2">
        <v>3400</v>
      </c>
      <c r="T30" s="2">
        <v>1488</v>
      </c>
      <c r="U30" s="2">
        <f t="shared" si="1"/>
        <v>1912</v>
      </c>
      <c r="V30" s="2">
        <f t="shared" si="2"/>
        <v>3400</v>
      </c>
    </row>
    <row r="31" spans="1:22" x14ac:dyDescent="0.3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172</v>
      </c>
      <c r="I31" s="12" t="s">
        <v>89</v>
      </c>
      <c r="J31" s="12">
        <f t="shared" si="0"/>
        <v>6</v>
      </c>
      <c r="K31" s="18" t="s">
        <v>38</v>
      </c>
      <c r="L31" s="15" t="s">
        <v>25</v>
      </c>
      <c r="M31" s="15" t="s">
        <v>26</v>
      </c>
      <c r="N31" s="21" t="s">
        <v>160</v>
      </c>
      <c r="O31" s="21" t="s">
        <v>161</v>
      </c>
      <c r="P31" s="21">
        <v>38</v>
      </c>
      <c r="Q31">
        <v>1</v>
      </c>
      <c r="R31" s="2">
        <v>1252</v>
      </c>
      <c r="S31" s="2">
        <v>2295</v>
      </c>
      <c r="T31" s="2">
        <v>1043</v>
      </c>
      <c r="U31" s="2">
        <f t="shared" si="1"/>
        <v>1252</v>
      </c>
      <c r="V31" s="2">
        <f t="shared" si="2"/>
        <v>2295</v>
      </c>
    </row>
    <row r="32" spans="1:22" x14ac:dyDescent="0.3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171</v>
      </c>
      <c r="I32" s="12" t="s">
        <v>37</v>
      </c>
      <c r="J32" s="12">
        <f t="shared" si="0"/>
        <v>9</v>
      </c>
      <c r="K32" s="18" t="s">
        <v>90</v>
      </c>
      <c r="L32" s="15" t="s">
        <v>25</v>
      </c>
      <c r="M32" s="15" t="s">
        <v>26</v>
      </c>
      <c r="N32" s="21" t="s">
        <v>160</v>
      </c>
      <c r="O32" s="21" t="s">
        <v>161</v>
      </c>
      <c r="P32" s="21">
        <v>38</v>
      </c>
      <c r="Q32">
        <v>3</v>
      </c>
      <c r="R32" s="2">
        <v>1252</v>
      </c>
      <c r="S32" s="2">
        <v>2295</v>
      </c>
      <c r="T32" s="2">
        <v>3129</v>
      </c>
      <c r="U32" s="2">
        <f t="shared" si="1"/>
        <v>3756</v>
      </c>
      <c r="V32" s="2">
        <f t="shared" si="2"/>
        <v>6885</v>
      </c>
    </row>
    <row r="33" spans="1:22" x14ac:dyDescent="0.3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171</v>
      </c>
      <c r="I33" s="12" t="s">
        <v>59</v>
      </c>
      <c r="J33" s="12">
        <f t="shared" si="0"/>
        <v>6</v>
      </c>
      <c r="K33" s="18" t="s">
        <v>38</v>
      </c>
      <c r="L33" s="15" t="s">
        <v>25</v>
      </c>
      <c r="M33" s="15" t="s">
        <v>26</v>
      </c>
      <c r="N33" s="21" t="s">
        <v>163</v>
      </c>
      <c r="O33" s="21" t="s">
        <v>162</v>
      </c>
      <c r="P33" s="21">
        <v>38</v>
      </c>
      <c r="Q33">
        <v>2</v>
      </c>
      <c r="R33" s="2">
        <v>420</v>
      </c>
      <c r="S33" s="2">
        <v>769</v>
      </c>
      <c r="T33" s="2">
        <v>698</v>
      </c>
      <c r="U33" s="2">
        <f t="shared" si="1"/>
        <v>840</v>
      </c>
      <c r="V33" s="2">
        <f t="shared" si="2"/>
        <v>1538</v>
      </c>
    </row>
    <row r="34" spans="1:22" x14ac:dyDescent="0.3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172</v>
      </c>
      <c r="I34" s="12" t="s">
        <v>23</v>
      </c>
      <c r="J34" s="12">
        <f t="shared" si="0"/>
        <v>13</v>
      </c>
      <c r="K34" s="18" t="s">
        <v>60</v>
      </c>
      <c r="L34" s="15" t="s">
        <v>25</v>
      </c>
      <c r="M34" s="15" t="s">
        <v>26</v>
      </c>
      <c r="N34" s="21" t="s">
        <v>160</v>
      </c>
      <c r="O34" s="21" t="s">
        <v>161</v>
      </c>
      <c r="P34" s="21">
        <v>46</v>
      </c>
      <c r="Q34">
        <v>1</v>
      </c>
      <c r="R34" s="2">
        <v>1252</v>
      </c>
      <c r="S34" s="2">
        <v>2295</v>
      </c>
      <c r="T34" s="2">
        <v>1043</v>
      </c>
      <c r="U34" s="2">
        <f t="shared" si="1"/>
        <v>1252</v>
      </c>
      <c r="V34" s="2">
        <f t="shared" si="2"/>
        <v>2295</v>
      </c>
    </row>
    <row r="35" spans="1:22" x14ac:dyDescent="0.3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172</v>
      </c>
      <c r="I35" s="12" t="s">
        <v>23</v>
      </c>
      <c r="J35" s="12">
        <f t="shared" si="0"/>
        <v>13</v>
      </c>
      <c r="K35" s="18" t="s">
        <v>24</v>
      </c>
      <c r="L35" s="15" t="s">
        <v>25</v>
      </c>
      <c r="M35" s="15" t="s">
        <v>26</v>
      </c>
      <c r="N35" s="21" t="s">
        <v>163</v>
      </c>
      <c r="O35" s="21" t="s">
        <v>162</v>
      </c>
      <c r="P35" s="21">
        <v>46</v>
      </c>
      <c r="Q35">
        <v>1</v>
      </c>
      <c r="R35" s="2">
        <v>420</v>
      </c>
      <c r="S35" s="2">
        <v>769</v>
      </c>
      <c r="T35" s="2">
        <v>349</v>
      </c>
      <c r="U35" s="2">
        <f t="shared" si="1"/>
        <v>420</v>
      </c>
      <c r="V35" s="2">
        <f t="shared" si="2"/>
        <v>769</v>
      </c>
    </row>
    <row r="36" spans="1:22" x14ac:dyDescent="0.3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171</v>
      </c>
      <c r="I36" s="12" t="s">
        <v>37</v>
      </c>
      <c r="J36" s="12">
        <f t="shared" si="0"/>
        <v>9</v>
      </c>
      <c r="K36" s="18" t="s">
        <v>24</v>
      </c>
      <c r="L36" s="15" t="s">
        <v>25</v>
      </c>
      <c r="M36" s="15" t="s">
        <v>26</v>
      </c>
      <c r="N36" s="21" t="s">
        <v>160</v>
      </c>
      <c r="O36" s="21" t="s">
        <v>162</v>
      </c>
      <c r="P36" s="21">
        <v>38</v>
      </c>
      <c r="Q36">
        <v>1</v>
      </c>
      <c r="R36" s="2">
        <v>1266</v>
      </c>
      <c r="S36" s="2">
        <v>2320</v>
      </c>
      <c r="T36" s="2">
        <v>1054</v>
      </c>
      <c r="U36" s="2">
        <f t="shared" si="1"/>
        <v>1266</v>
      </c>
      <c r="V36" s="2">
        <f t="shared" si="2"/>
        <v>2320</v>
      </c>
    </row>
    <row r="37" spans="1:22" x14ac:dyDescent="0.3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171</v>
      </c>
      <c r="I37" s="12" t="s">
        <v>23</v>
      </c>
      <c r="J37" s="12">
        <f t="shared" si="0"/>
        <v>13</v>
      </c>
      <c r="K37" s="18" t="s">
        <v>38</v>
      </c>
      <c r="L37" s="15" t="s">
        <v>25</v>
      </c>
      <c r="M37" s="15" t="s">
        <v>26</v>
      </c>
      <c r="N37" s="21" t="s">
        <v>160</v>
      </c>
      <c r="O37" s="21" t="s">
        <v>162</v>
      </c>
      <c r="P37" s="21">
        <v>42</v>
      </c>
      <c r="Q37">
        <v>4</v>
      </c>
      <c r="R37" s="2">
        <v>1266</v>
      </c>
      <c r="S37" s="2">
        <v>2320</v>
      </c>
      <c r="T37" s="2">
        <v>4216</v>
      </c>
      <c r="U37" s="2">
        <f t="shared" si="1"/>
        <v>5064</v>
      </c>
      <c r="V37" s="2">
        <f t="shared" si="2"/>
        <v>9280</v>
      </c>
    </row>
    <row r="38" spans="1:22" x14ac:dyDescent="0.3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172</v>
      </c>
      <c r="I38" s="12" t="s">
        <v>37</v>
      </c>
      <c r="J38" s="12">
        <f t="shared" si="0"/>
        <v>9</v>
      </c>
      <c r="K38" s="18" t="s">
        <v>24</v>
      </c>
      <c r="L38" s="15" t="s">
        <v>25</v>
      </c>
      <c r="M38" s="15" t="s">
        <v>26</v>
      </c>
      <c r="N38" s="21" t="s">
        <v>163</v>
      </c>
      <c r="O38" s="21" t="s">
        <v>162</v>
      </c>
      <c r="P38" s="21">
        <v>46</v>
      </c>
      <c r="Q38">
        <v>4</v>
      </c>
      <c r="R38" s="2">
        <v>420</v>
      </c>
      <c r="S38" s="2">
        <v>769</v>
      </c>
      <c r="T38" s="2">
        <v>1396</v>
      </c>
      <c r="U38" s="2">
        <f t="shared" si="1"/>
        <v>1680</v>
      </c>
      <c r="V38" s="2">
        <f t="shared" si="2"/>
        <v>3076</v>
      </c>
    </row>
    <row r="39" spans="1:22" x14ac:dyDescent="0.3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172</v>
      </c>
      <c r="I39" s="12" t="s">
        <v>37</v>
      </c>
      <c r="J39" s="12">
        <f t="shared" si="0"/>
        <v>9</v>
      </c>
      <c r="K39" s="18" t="s">
        <v>38</v>
      </c>
      <c r="L39" s="15" t="s">
        <v>25</v>
      </c>
      <c r="M39" s="15" t="s">
        <v>26</v>
      </c>
      <c r="N39" s="21" t="s">
        <v>160</v>
      </c>
      <c r="O39" s="21" t="s">
        <v>161</v>
      </c>
      <c r="P39" s="21">
        <v>38</v>
      </c>
      <c r="Q39">
        <v>2</v>
      </c>
      <c r="R39" s="2">
        <v>1252</v>
      </c>
      <c r="S39" s="2">
        <v>2295</v>
      </c>
      <c r="T39" s="2">
        <v>2086</v>
      </c>
      <c r="U39" s="2">
        <f t="shared" si="1"/>
        <v>2504</v>
      </c>
      <c r="V39" s="2">
        <f t="shared" si="2"/>
        <v>4590</v>
      </c>
    </row>
    <row r="40" spans="1:22" x14ac:dyDescent="0.3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171</v>
      </c>
      <c r="I40" s="12" t="s">
        <v>23</v>
      </c>
      <c r="J40" s="12">
        <f t="shared" si="0"/>
        <v>13</v>
      </c>
      <c r="K40" s="18" t="s">
        <v>76</v>
      </c>
      <c r="L40" s="15" t="s">
        <v>25</v>
      </c>
      <c r="M40" s="15" t="s">
        <v>26</v>
      </c>
      <c r="N40" s="21" t="s">
        <v>160</v>
      </c>
      <c r="O40" s="21" t="s">
        <v>162</v>
      </c>
      <c r="P40" s="21">
        <v>42</v>
      </c>
      <c r="Q40">
        <v>1</v>
      </c>
      <c r="R40" s="2">
        <v>1266</v>
      </c>
      <c r="S40" s="2">
        <v>2320</v>
      </c>
      <c r="T40" s="2">
        <v>1054</v>
      </c>
      <c r="U40" s="2">
        <f t="shared" si="1"/>
        <v>1266</v>
      </c>
      <c r="V40" s="2">
        <f t="shared" si="2"/>
        <v>2320</v>
      </c>
    </row>
    <row r="41" spans="1:22" x14ac:dyDescent="0.3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171</v>
      </c>
      <c r="I41" s="12" t="s">
        <v>37</v>
      </c>
      <c r="J41" s="12">
        <f t="shared" si="0"/>
        <v>9</v>
      </c>
      <c r="K41" s="18" t="s">
        <v>47</v>
      </c>
      <c r="L41" s="15" t="s">
        <v>25</v>
      </c>
      <c r="M41" s="15" t="s">
        <v>26</v>
      </c>
      <c r="N41" s="21" t="s">
        <v>160</v>
      </c>
      <c r="O41" s="21" t="s">
        <v>162</v>
      </c>
      <c r="P41" s="21">
        <v>42</v>
      </c>
      <c r="Q41">
        <v>1</v>
      </c>
      <c r="R41" s="2">
        <v>1266</v>
      </c>
      <c r="S41" s="2">
        <v>2320</v>
      </c>
      <c r="T41" s="2">
        <v>1054</v>
      </c>
      <c r="U41" s="2">
        <f t="shared" si="1"/>
        <v>1266</v>
      </c>
      <c r="V41" s="2">
        <f t="shared" si="2"/>
        <v>2320</v>
      </c>
    </row>
    <row r="42" spans="1:22" x14ac:dyDescent="0.3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171</v>
      </c>
      <c r="I42" s="12" t="s">
        <v>23</v>
      </c>
      <c r="J42" s="12">
        <f t="shared" si="0"/>
        <v>13</v>
      </c>
      <c r="K42" s="18" t="s">
        <v>54</v>
      </c>
      <c r="L42" s="15" t="s">
        <v>25</v>
      </c>
      <c r="M42" s="15" t="s">
        <v>26</v>
      </c>
      <c r="N42" s="21" t="s">
        <v>160</v>
      </c>
      <c r="O42" s="21" t="s">
        <v>162</v>
      </c>
      <c r="P42" s="21">
        <v>42</v>
      </c>
      <c r="Q42">
        <v>3</v>
      </c>
      <c r="R42" s="2">
        <v>1266</v>
      </c>
      <c r="S42" s="2">
        <v>2320</v>
      </c>
      <c r="T42" s="2">
        <v>3162</v>
      </c>
      <c r="U42" s="2">
        <f t="shared" si="1"/>
        <v>3798</v>
      </c>
      <c r="V42" s="2">
        <f t="shared" si="2"/>
        <v>6960</v>
      </c>
    </row>
    <row r="43" spans="1:22" x14ac:dyDescent="0.3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171</v>
      </c>
      <c r="I43" s="12" t="s">
        <v>29</v>
      </c>
      <c r="J43" s="12">
        <f t="shared" si="0"/>
        <v>14</v>
      </c>
      <c r="K43" s="18" t="s">
        <v>24</v>
      </c>
      <c r="L43" s="15" t="s">
        <v>25</v>
      </c>
      <c r="M43" s="15" t="s">
        <v>26</v>
      </c>
      <c r="N43" s="21" t="s">
        <v>164</v>
      </c>
      <c r="O43" s="21" t="s">
        <v>162</v>
      </c>
      <c r="P43" s="21">
        <v>40</v>
      </c>
      <c r="Q43">
        <v>1</v>
      </c>
      <c r="R43" s="2">
        <v>308</v>
      </c>
      <c r="S43" s="2">
        <v>565</v>
      </c>
      <c r="T43" s="2">
        <v>257</v>
      </c>
      <c r="U43" s="2">
        <f t="shared" si="1"/>
        <v>308</v>
      </c>
      <c r="V43" s="2">
        <f t="shared" si="2"/>
        <v>565</v>
      </c>
    </row>
    <row r="44" spans="1:22" x14ac:dyDescent="0.3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171</v>
      </c>
      <c r="I44" s="12" t="s">
        <v>29</v>
      </c>
      <c r="J44" s="12">
        <f t="shared" si="0"/>
        <v>14</v>
      </c>
      <c r="K44" s="18" t="s">
        <v>30</v>
      </c>
      <c r="L44" s="15" t="s">
        <v>25</v>
      </c>
      <c r="M44" s="15" t="s">
        <v>26</v>
      </c>
      <c r="N44" s="21" t="s">
        <v>160</v>
      </c>
      <c r="O44" s="21" t="s">
        <v>161</v>
      </c>
      <c r="P44" s="21">
        <v>38</v>
      </c>
      <c r="Q44">
        <v>1</v>
      </c>
      <c r="R44" s="2">
        <v>1252</v>
      </c>
      <c r="S44" s="2">
        <v>2295</v>
      </c>
      <c r="T44" s="2">
        <v>1043</v>
      </c>
      <c r="U44" s="2">
        <f t="shared" si="1"/>
        <v>1252</v>
      </c>
      <c r="V44" s="2">
        <f t="shared" si="2"/>
        <v>2295</v>
      </c>
    </row>
    <row r="45" spans="1:22" x14ac:dyDescent="0.3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172</v>
      </c>
      <c r="I45" s="12" t="s">
        <v>23</v>
      </c>
      <c r="J45" s="12">
        <f t="shared" si="0"/>
        <v>13</v>
      </c>
      <c r="K45" s="18" t="s">
        <v>30</v>
      </c>
      <c r="L45" s="15" t="s">
        <v>25</v>
      </c>
      <c r="M45" s="15" t="s">
        <v>26</v>
      </c>
      <c r="N45" s="21" t="s">
        <v>160</v>
      </c>
      <c r="O45" s="21" t="s">
        <v>161</v>
      </c>
      <c r="P45" s="21">
        <v>38</v>
      </c>
      <c r="Q45">
        <v>1</v>
      </c>
      <c r="R45" s="2">
        <v>1252</v>
      </c>
      <c r="S45" s="2">
        <v>2295</v>
      </c>
      <c r="T45" s="2">
        <v>1043</v>
      </c>
      <c r="U45" s="2">
        <f t="shared" si="1"/>
        <v>1252</v>
      </c>
      <c r="V45" s="2">
        <f t="shared" si="2"/>
        <v>2295</v>
      </c>
    </row>
    <row r="46" spans="1:22" x14ac:dyDescent="0.3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171</v>
      </c>
      <c r="I46" s="12" t="s">
        <v>23</v>
      </c>
      <c r="J46" s="12">
        <f t="shared" si="0"/>
        <v>13</v>
      </c>
      <c r="K46" s="18" t="s">
        <v>47</v>
      </c>
      <c r="L46" s="15" t="s">
        <v>25</v>
      </c>
      <c r="M46" s="15" t="s">
        <v>26</v>
      </c>
      <c r="N46" s="21" t="s">
        <v>160</v>
      </c>
      <c r="O46" s="21" t="s">
        <v>162</v>
      </c>
      <c r="P46" s="21">
        <v>38</v>
      </c>
      <c r="Q46">
        <v>2</v>
      </c>
      <c r="R46" s="2">
        <v>1266</v>
      </c>
      <c r="S46" s="2">
        <v>2320</v>
      </c>
      <c r="T46" s="2">
        <v>2108</v>
      </c>
      <c r="U46" s="2">
        <f t="shared" si="1"/>
        <v>2532</v>
      </c>
      <c r="V46" s="2">
        <f t="shared" si="2"/>
        <v>4640</v>
      </c>
    </row>
    <row r="47" spans="1:22" x14ac:dyDescent="0.3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172</v>
      </c>
      <c r="I47" s="12" t="s">
        <v>37</v>
      </c>
      <c r="J47" s="12">
        <f t="shared" si="0"/>
        <v>9</v>
      </c>
      <c r="K47" s="18" t="s">
        <v>24</v>
      </c>
      <c r="L47" s="15" t="s">
        <v>25</v>
      </c>
      <c r="M47" s="15" t="s">
        <v>26</v>
      </c>
      <c r="N47" s="21" t="s">
        <v>160</v>
      </c>
      <c r="O47" s="21" t="s">
        <v>161</v>
      </c>
      <c r="P47" s="21">
        <v>46</v>
      </c>
      <c r="Q47">
        <v>1</v>
      </c>
      <c r="R47" s="2">
        <v>1252</v>
      </c>
      <c r="S47" s="2">
        <v>2295</v>
      </c>
      <c r="T47" s="2">
        <v>1043</v>
      </c>
      <c r="U47" s="2">
        <f t="shared" si="1"/>
        <v>1252</v>
      </c>
      <c r="V47" s="2">
        <f t="shared" si="2"/>
        <v>2295</v>
      </c>
    </row>
    <row r="48" spans="1:22" x14ac:dyDescent="0.3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171</v>
      </c>
      <c r="I48" s="12" t="s">
        <v>23</v>
      </c>
      <c r="J48" s="12">
        <f t="shared" si="0"/>
        <v>13</v>
      </c>
      <c r="K48" s="18" t="s">
        <v>76</v>
      </c>
      <c r="L48" s="15" t="s">
        <v>25</v>
      </c>
      <c r="M48" s="15" t="s">
        <v>26</v>
      </c>
      <c r="N48" s="21" t="s">
        <v>163</v>
      </c>
      <c r="O48" s="21" t="s">
        <v>162</v>
      </c>
      <c r="P48" s="21">
        <v>46</v>
      </c>
      <c r="Q48">
        <v>1</v>
      </c>
      <c r="R48" s="2">
        <v>420</v>
      </c>
      <c r="S48" s="2">
        <v>769</v>
      </c>
      <c r="T48" s="2">
        <v>349</v>
      </c>
      <c r="U48" s="2">
        <f t="shared" si="1"/>
        <v>420</v>
      </c>
      <c r="V48" s="2">
        <f t="shared" si="2"/>
        <v>769</v>
      </c>
    </row>
    <row r="49" spans="1:22" x14ac:dyDescent="0.3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171</v>
      </c>
      <c r="I49" s="12" t="s">
        <v>37</v>
      </c>
      <c r="J49" s="12">
        <f t="shared" si="0"/>
        <v>9</v>
      </c>
      <c r="K49" s="18" t="s">
        <v>24</v>
      </c>
      <c r="L49" s="15" t="s">
        <v>25</v>
      </c>
      <c r="M49" s="15" t="s">
        <v>26</v>
      </c>
      <c r="N49" s="21" t="s">
        <v>160</v>
      </c>
      <c r="O49" s="21" t="s">
        <v>162</v>
      </c>
      <c r="P49" s="21">
        <v>42</v>
      </c>
      <c r="Q49">
        <v>1</v>
      </c>
      <c r="R49" s="2">
        <v>1266</v>
      </c>
      <c r="S49" s="2">
        <v>2320</v>
      </c>
      <c r="T49" s="2">
        <v>1054</v>
      </c>
      <c r="U49" s="2">
        <f t="shared" si="1"/>
        <v>1266</v>
      </c>
      <c r="V49" s="2">
        <f t="shared" si="2"/>
        <v>2320</v>
      </c>
    </row>
    <row r="50" spans="1:22" x14ac:dyDescent="0.3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171</v>
      </c>
      <c r="I50" s="12" t="s">
        <v>37</v>
      </c>
      <c r="J50" s="12">
        <f t="shared" si="0"/>
        <v>9</v>
      </c>
      <c r="K50" s="18" t="s">
        <v>38</v>
      </c>
      <c r="L50" s="15" t="s">
        <v>25</v>
      </c>
      <c r="M50" s="15" t="s">
        <v>26</v>
      </c>
      <c r="N50" s="21" t="s">
        <v>160</v>
      </c>
      <c r="O50" s="21" t="s">
        <v>161</v>
      </c>
      <c r="P50" s="21">
        <v>38</v>
      </c>
      <c r="Q50">
        <v>2</v>
      </c>
      <c r="R50" s="2">
        <v>1252</v>
      </c>
      <c r="S50" s="2">
        <v>2295</v>
      </c>
      <c r="T50" s="2">
        <v>2086</v>
      </c>
      <c r="U50" s="2">
        <f t="shared" si="1"/>
        <v>2504</v>
      </c>
      <c r="V50" s="2">
        <f t="shared" si="2"/>
        <v>4590</v>
      </c>
    </row>
    <row r="51" spans="1:22" x14ac:dyDescent="0.3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172</v>
      </c>
      <c r="I51" s="12" t="s">
        <v>89</v>
      </c>
      <c r="J51" s="12">
        <f t="shared" si="0"/>
        <v>6</v>
      </c>
      <c r="K51" s="18" t="s">
        <v>38</v>
      </c>
      <c r="L51" s="15" t="s">
        <v>25</v>
      </c>
      <c r="M51" s="15" t="s">
        <v>26</v>
      </c>
      <c r="N51" s="21" t="s">
        <v>160</v>
      </c>
      <c r="O51" s="21" t="s">
        <v>161</v>
      </c>
      <c r="P51" s="21">
        <v>38</v>
      </c>
      <c r="Q51">
        <v>2</v>
      </c>
      <c r="R51" s="2">
        <v>1252</v>
      </c>
      <c r="S51" s="2">
        <v>2295</v>
      </c>
      <c r="T51" s="2">
        <v>2086</v>
      </c>
      <c r="U51" s="2">
        <f t="shared" si="1"/>
        <v>2504</v>
      </c>
      <c r="V51" s="2">
        <f t="shared" si="2"/>
        <v>4590</v>
      </c>
    </row>
    <row r="52" spans="1:22" x14ac:dyDescent="0.3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171</v>
      </c>
      <c r="I52" s="12" t="s">
        <v>23</v>
      </c>
      <c r="J52" s="12">
        <f t="shared" si="0"/>
        <v>13</v>
      </c>
      <c r="K52" s="18" t="s">
        <v>112</v>
      </c>
      <c r="L52" s="15" t="s">
        <v>25</v>
      </c>
      <c r="M52" s="15" t="s">
        <v>26</v>
      </c>
      <c r="N52" s="21" t="s">
        <v>160</v>
      </c>
      <c r="O52" s="21" t="s">
        <v>162</v>
      </c>
      <c r="P52" s="21">
        <v>46</v>
      </c>
      <c r="Q52">
        <v>1</v>
      </c>
      <c r="R52" s="2">
        <v>1266</v>
      </c>
      <c r="S52" s="2">
        <v>2320</v>
      </c>
      <c r="T52" s="2">
        <v>1054</v>
      </c>
      <c r="U52" s="2">
        <f t="shared" si="1"/>
        <v>1266</v>
      </c>
      <c r="V52" s="2">
        <f t="shared" si="2"/>
        <v>2320</v>
      </c>
    </row>
    <row r="53" spans="1:22" x14ac:dyDescent="0.3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171</v>
      </c>
      <c r="I53" s="12" t="s">
        <v>37</v>
      </c>
      <c r="J53" s="12">
        <f t="shared" si="0"/>
        <v>9</v>
      </c>
      <c r="K53" s="18" t="s">
        <v>47</v>
      </c>
      <c r="L53" s="15" t="s">
        <v>25</v>
      </c>
      <c r="M53" s="15" t="s">
        <v>26</v>
      </c>
      <c r="N53" s="21" t="s">
        <v>160</v>
      </c>
      <c r="O53" s="21" t="s">
        <v>162</v>
      </c>
      <c r="P53" s="21">
        <v>38</v>
      </c>
      <c r="Q53">
        <v>2</v>
      </c>
      <c r="R53" s="2">
        <v>1266</v>
      </c>
      <c r="S53" s="2">
        <v>2320</v>
      </c>
      <c r="T53" s="2">
        <v>2108</v>
      </c>
      <c r="U53" s="2">
        <f t="shared" si="1"/>
        <v>2532</v>
      </c>
      <c r="V53" s="2">
        <f t="shared" si="2"/>
        <v>4640</v>
      </c>
    </row>
    <row r="54" spans="1:22" x14ac:dyDescent="0.3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172</v>
      </c>
      <c r="I54" s="12" t="s">
        <v>51</v>
      </c>
      <c r="J54" s="12">
        <f t="shared" si="0"/>
        <v>7</v>
      </c>
      <c r="K54" s="18" t="s">
        <v>38</v>
      </c>
      <c r="L54" s="15" t="s">
        <v>25</v>
      </c>
      <c r="M54" s="15" t="s">
        <v>26</v>
      </c>
      <c r="N54" s="21" t="s">
        <v>163</v>
      </c>
      <c r="O54" s="21" t="s">
        <v>162</v>
      </c>
      <c r="P54" s="21">
        <v>42</v>
      </c>
      <c r="Q54">
        <v>1</v>
      </c>
      <c r="R54" s="2">
        <v>420</v>
      </c>
      <c r="S54" s="2">
        <v>769</v>
      </c>
      <c r="T54" s="2">
        <v>349</v>
      </c>
      <c r="U54" s="2">
        <f t="shared" si="1"/>
        <v>420</v>
      </c>
      <c r="V54" s="2">
        <f t="shared" si="2"/>
        <v>769</v>
      </c>
    </row>
    <row r="55" spans="1:22" x14ac:dyDescent="0.3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171</v>
      </c>
      <c r="I55" s="12" t="s">
        <v>37</v>
      </c>
      <c r="J55" s="12">
        <f t="shared" si="0"/>
        <v>9</v>
      </c>
      <c r="K55" s="18" t="s">
        <v>52</v>
      </c>
      <c r="L55" s="15" t="s">
        <v>25</v>
      </c>
      <c r="M55" s="15" t="s">
        <v>26</v>
      </c>
      <c r="N55" s="21" t="s">
        <v>160</v>
      </c>
      <c r="O55" s="21" t="s">
        <v>162</v>
      </c>
      <c r="P55" s="21">
        <v>46</v>
      </c>
      <c r="Q55">
        <v>1</v>
      </c>
      <c r="R55" s="2">
        <v>1266</v>
      </c>
      <c r="S55" s="2">
        <v>2320</v>
      </c>
      <c r="T55" s="2">
        <v>1054</v>
      </c>
      <c r="U55" s="2">
        <f t="shared" si="1"/>
        <v>1266</v>
      </c>
      <c r="V55" s="2">
        <f t="shared" si="2"/>
        <v>2320</v>
      </c>
    </row>
    <row r="56" spans="1:22" x14ac:dyDescent="0.3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171</v>
      </c>
      <c r="I56" s="12" t="s">
        <v>51</v>
      </c>
      <c r="J56" s="12">
        <f t="shared" si="0"/>
        <v>7</v>
      </c>
      <c r="K56" s="18" t="s">
        <v>38</v>
      </c>
      <c r="L56" s="15" t="s">
        <v>25</v>
      </c>
      <c r="M56" s="15" t="s">
        <v>26</v>
      </c>
      <c r="N56" s="21" t="s">
        <v>164</v>
      </c>
      <c r="O56" s="21" t="s">
        <v>162</v>
      </c>
      <c r="P56" s="21">
        <v>42</v>
      </c>
      <c r="Q56">
        <v>4</v>
      </c>
      <c r="R56" s="2">
        <v>308</v>
      </c>
      <c r="S56" s="2">
        <v>565</v>
      </c>
      <c r="T56" s="2">
        <v>1028</v>
      </c>
      <c r="U56" s="2">
        <f t="shared" si="1"/>
        <v>1232</v>
      </c>
      <c r="V56" s="2">
        <f t="shared" si="2"/>
        <v>2260</v>
      </c>
    </row>
    <row r="57" spans="1:22" x14ac:dyDescent="0.3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171</v>
      </c>
      <c r="I57" s="12" t="s">
        <v>89</v>
      </c>
      <c r="J57" s="12">
        <f t="shared" si="0"/>
        <v>6</v>
      </c>
      <c r="K57" s="18" t="s">
        <v>52</v>
      </c>
      <c r="L57" s="15" t="s">
        <v>25</v>
      </c>
      <c r="M57" s="15" t="s">
        <v>26</v>
      </c>
      <c r="N57" s="21" t="s">
        <v>160</v>
      </c>
      <c r="O57" s="21" t="s">
        <v>162</v>
      </c>
      <c r="P57" s="21">
        <v>46</v>
      </c>
      <c r="Q57">
        <v>4</v>
      </c>
      <c r="R57" s="2">
        <v>1266</v>
      </c>
      <c r="S57" s="2">
        <v>2320</v>
      </c>
      <c r="T57" s="2">
        <v>4216</v>
      </c>
      <c r="U57" s="2">
        <f t="shared" si="1"/>
        <v>5064</v>
      </c>
      <c r="V57" s="2">
        <f t="shared" si="2"/>
        <v>9280</v>
      </c>
    </row>
    <row r="58" spans="1:22" x14ac:dyDescent="0.3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171</v>
      </c>
      <c r="I58" s="12" t="s">
        <v>29</v>
      </c>
      <c r="J58" s="12">
        <f t="shared" si="0"/>
        <v>14</v>
      </c>
      <c r="K58" s="18" t="s">
        <v>120</v>
      </c>
      <c r="L58" s="15" t="s">
        <v>25</v>
      </c>
      <c r="M58" s="15" t="s">
        <v>26</v>
      </c>
      <c r="N58" s="21" t="s">
        <v>160</v>
      </c>
      <c r="O58" s="21" t="s">
        <v>162</v>
      </c>
      <c r="P58" s="21">
        <v>38</v>
      </c>
      <c r="Q58">
        <v>3</v>
      </c>
      <c r="R58" s="2">
        <v>1266</v>
      </c>
      <c r="S58" s="2">
        <v>2320</v>
      </c>
      <c r="T58" s="2">
        <v>3162</v>
      </c>
      <c r="U58" s="2">
        <f t="shared" si="1"/>
        <v>3798</v>
      </c>
      <c r="V58" s="2">
        <f t="shared" si="2"/>
        <v>6960</v>
      </c>
    </row>
    <row r="59" spans="1:22" x14ac:dyDescent="0.3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171</v>
      </c>
      <c r="I59" s="12" t="s">
        <v>23</v>
      </c>
      <c r="J59" s="12">
        <f t="shared" si="0"/>
        <v>13</v>
      </c>
      <c r="K59" s="18" t="s">
        <v>30</v>
      </c>
      <c r="L59" s="15" t="s">
        <v>25</v>
      </c>
      <c r="M59" s="15" t="s">
        <v>26</v>
      </c>
      <c r="N59" s="21" t="s">
        <v>163</v>
      </c>
      <c r="O59" s="21" t="s">
        <v>162</v>
      </c>
      <c r="P59" s="21">
        <v>42</v>
      </c>
      <c r="Q59">
        <v>3</v>
      </c>
      <c r="R59" s="2">
        <v>420</v>
      </c>
      <c r="S59" s="2">
        <v>769</v>
      </c>
      <c r="T59" s="2">
        <v>1047</v>
      </c>
      <c r="U59" s="2">
        <f t="shared" si="1"/>
        <v>1260</v>
      </c>
      <c r="V59" s="2">
        <f t="shared" si="2"/>
        <v>2307</v>
      </c>
    </row>
    <row r="60" spans="1:22" x14ac:dyDescent="0.3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172</v>
      </c>
      <c r="I60" s="12" t="s">
        <v>89</v>
      </c>
      <c r="J60" s="12">
        <f t="shared" si="0"/>
        <v>6</v>
      </c>
      <c r="K60" s="18" t="s">
        <v>24</v>
      </c>
      <c r="L60" s="15" t="s">
        <v>25</v>
      </c>
      <c r="M60" s="15" t="s">
        <v>26</v>
      </c>
      <c r="N60" s="21" t="s">
        <v>160</v>
      </c>
      <c r="O60" s="21" t="s">
        <v>161</v>
      </c>
      <c r="P60" s="21">
        <v>42</v>
      </c>
      <c r="Q60">
        <v>3</v>
      </c>
      <c r="R60" s="2">
        <v>1252</v>
      </c>
      <c r="S60" s="2">
        <v>2295</v>
      </c>
      <c r="T60" s="2">
        <v>3129</v>
      </c>
      <c r="U60" s="2">
        <f t="shared" si="1"/>
        <v>3756</v>
      </c>
      <c r="V60" s="2">
        <f t="shared" si="2"/>
        <v>6885</v>
      </c>
    </row>
    <row r="61" spans="1:22" x14ac:dyDescent="0.3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172</v>
      </c>
      <c r="I61" s="12" t="s">
        <v>23</v>
      </c>
      <c r="J61" s="12">
        <f t="shared" si="0"/>
        <v>13</v>
      </c>
      <c r="K61" s="18" t="s">
        <v>90</v>
      </c>
      <c r="L61" s="15" t="s">
        <v>25</v>
      </c>
      <c r="M61" s="15" t="s">
        <v>26</v>
      </c>
      <c r="N61" s="21" t="s">
        <v>160</v>
      </c>
      <c r="O61" s="21" t="s">
        <v>161</v>
      </c>
      <c r="P61" s="21">
        <v>46</v>
      </c>
      <c r="Q61">
        <v>1</v>
      </c>
      <c r="R61" s="2">
        <v>1252</v>
      </c>
      <c r="S61" s="2">
        <v>2295</v>
      </c>
      <c r="T61" s="2">
        <v>1043</v>
      </c>
      <c r="U61" s="2">
        <f t="shared" si="1"/>
        <v>1252</v>
      </c>
      <c r="V61" s="2">
        <f t="shared" si="2"/>
        <v>2295</v>
      </c>
    </row>
    <row r="62" spans="1:22" x14ac:dyDescent="0.3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172</v>
      </c>
      <c r="I62" s="12" t="s">
        <v>89</v>
      </c>
      <c r="J62" s="12">
        <f t="shared" si="0"/>
        <v>6</v>
      </c>
      <c r="K62" s="18" t="s">
        <v>47</v>
      </c>
      <c r="L62" s="15" t="s">
        <v>25</v>
      </c>
      <c r="M62" s="15" t="s">
        <v>26</v>
      </c>
      <c r="N62" s="21" t="s">
        <v>160</v>
      </c>
      <c r="O62" s="21" t="s">
        <v>162</v>
      </c>
      <c r="P62" s="21">
        <v>38</v>
      </c>
      <c r="Q62">
        <v>1</v>
      </c>
      <c r="R62" s="2">
        <v>1266</v>
      </c>
      <c r="S62" s="2">
        <v>2320</v>
      </c>
      <c r="T62" s="2">
        <v>1054</v>
      </c>
      <c r="U62" s="2">
        <f t="shared" si="1"/>
        <v>1266</v>
      </c>
      <c r="V62" s="2">
        <f t="shared" si="2"/>
        <v>2320</v>
      </c>
    </row>
    <row r="63" spans="1:22" x14ac:dyDescent="0.3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172</v>
      </c>
      <c r="I63" s="12" t="s">
        <v>37</v>
      </c>
      <c r="J63" s="12">
        <f t="shared" si="0"/>
        <v>9</v>
      </c>
      <c r="K63" s="18" t="s">
        <v>126</v>
      </c>
      <c r="L63" s="15" t="s">
        <v>25</v>
      </c>
      <c r="M63" s="15" t="s">
        <v>26</v>
      </c>
      <c r="N63" s="21" t="s">
        <v>160</v>
      </c>
      <c r="O63" s="21" t="s">
        <v>162</v>
      </c>
      <c r="P63" s="21">
        <v>46</v>
      </c>
      <c r="Q63">
        <v>4</v>
      </c>
      <c r="R63" s="2">
        <v>1266</v>
      </c>
      <c r="S63" s="2">
        <v>2320</v>
      </c>
      <c r="T63" s="2">
        <v>4216</v>
      </c>
      <c r="U63" s="2">
        <f t="shared" si="1"/>
        <v>5064</v>
      </c>
      <c r="V63" s="2">
        <f t="shared" si="2"/>
        <v>9280</v>
      </c>
    </row>
    <row r="64" spans="1:22" x14ac:dyDescent="0.3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171</v>
      </c>
      <c r="I64" s="12" t="s">
        <v>89</v>
      </c>
      <c r="J64" s="12">
        <f t="shared" si="0"/>
        <v>6</v>
      </c>
      <c r="K64" s="18" t="s">
        <v>76</v>
      </c>
      <c r="L64" s="15" t="s">
        <v>25</v>
      </c>
      <c r="M64" s="15" t="s">
        <v>26</v>
      </c>
      <c r="N64" s="21" t="s">
        <v>164</v>
      </c>
      <c r="O64" s="21" t="s">
        <v>161</v>
      </c>
      <c r="P64" s="21">
        <v>44</v>
      </c>
      <c r="Q64">
        <v>4</v>
      </c>
      <c r="R64" s="2">
        <v>295</v>
      </c>
      <c r="S64" s="2">
        <v>540</v>
      </c>
      <c r="T64" s="2">
        <v>980</v>
      </c>
      <c r="U64" s="2">
        <f t="shared" si="1"/>
        <v>1180</v>
      </c>
      <c r="V64" s="2">
        <f t="shared" si="2"/>
        <v>2160</v>
      </c>
    </row>
    <row r="65" spans="1:22" x14ac:dyDescent="0.3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172</v>
      </c>
      <c r="I65" s="12" t="s">
        <v>23</v>
      </c>
      <c r="J65" s="12">
        <f t="shared" si="0"/>
        <v>13</v>
      </c>
      <c r="K65" s="18" t="s">
        <v>90</v>
      </c>
      <c r="L65" s="15" t="s">
        <v>25</v>
      </c>
      <c r="M65" s="15" t="s">
        <v>26</v>
      </c>
      <c r="N65" s="21" t="s">
        <v>160</v>
      </c>
      <c r="O65" s="21" t="s">
        <v>161</v>
      </c>
      <c r="P65" s="21">
        <v>38</v>
      </c>
      <c r="Q65">
        <v>4</v>
      </c>
      <c r="R65" s="2">
        <v>1252</v>
      </c>
      <c r="S65" s="2">
        <v>2295</v>
      </c>
      <c r="T65" s="2">
        <v>4172</v>
      </c>
      <c r="U65" s="2">
        <f t="shared" si="1"/>
        <v>5008</v>
      </c>
      <c r="V65" s="2">
        <f t="shared" si="2"/>
        <v>9180</v>
      </c>
    </row>
    <row r="66" spans="1:22" x14ac:dyDescent="0.3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171</v>
      </c>
      <c r="I66" s="12" t="s">
        <v>23</v>
      </c>
      <c r="J66" s="12">
        <f t="shared" si="0"/>
        <v>13</v>
      </c>
      <c r="K66" s="18" t="s">
        <v>72</v>
      </c>
      <c r="L66" s="15" t="s">
        <v>25</v>
      </c>
      <c r="M66" s="15" t="s">
        <v>26</v>
      </c>
      <c r="N66" s="21" t="s">
        <v>165</v>
      </c>
      <c r="O66" s="21" t="s">
        <v>161</v>
      </c>
      <c r="P66" s="21">
        <v>48</v>
      </c>
      <c r="Q66">
        <v>4</v>
      </c>
      <c r="R66" s="2">
        <v>1898</v>
      </c>
      <c r="S66" s="2">
        <v>3375</v>
      </c>
      <c r="T66" s="2">
        <v>5908</v>
      </c>
      <c r="U66" s="2">
        <f t="shared" si="1"/>
        <v>7592</v>
      </c>
      <c r="V66" s="2">
        <f t="shared" si="2"/>
        <v>13500</v>
      </c>
    </row>
    <row r="67" spans="1:22" x14ac:dyDescent="0.3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172</v>
      </c>
      <c r="I67" s="12" t="s">
        <v>23</v>
      </c>
      <c r="J67" s="12">
        <f t="shared" ref="J67:J89" si="3">LEN(I67)</f>
        <v>13</v>
      </c>
      <c r="K67" s="18" t="s">
        <v>72</v>
      </c>
      <c r="L67" s="15" t="s">
        <v>25</v>
      </c>
      <c r="M67" s="15" t="s">
        <v>26</v>
      </c>
      <c r="N67" s="21" t="s">
        <v>160</v>
      </c>
      <c r="O67" s="21" t="s">
        <v>161</v>
      </c>
      <c r="P67" s="21">
        <v>38</v>
      </c>
      <c r="Q67">
        <v>4</v>
      </c>
      <c r="R67" s="2">
        <v>1252</v>
      </c>
      <c r="S67" s="2">
        <v>2295</v>
      </c>
      <c r="T67" s="2">
        <v>4172</v>
      </c>
      <c r="U67" s="2">
        <f t="shared" ref="U67:U89" si="4">Q67*R67</f>
        <v>5008</v>
      </c>
      <c r="V67" s="2">
        <f t="shared" ref="V67:V89" si="5">Q67*S67</f>
        <v>9180</v>
      </c>
    </row>
    <row r="68" spans="1:22" x14ac:dyDescent="0.3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171</v>
      </c>
      <c r="I68" s="12" t="s">
        <v>37</v>
      </c>
      <c r="J68" s="12">
        <f t="shared" si="3"/>
        <v>9</v>
      </c>
      <c r="K68" s="18" t="s">
        <v>24</v>
      </c>
      <c r="L68" s="15" t="s">
        <v>25</v>
      </c>
      <c r="M68" s="15" t="s">
        <v>26</v>
      </c>
      <c r="N68" s="21" t="s">
        <v>160</v>
      </c>
      <c r="O68" s="21" t="s">
        <v>161</v>
      </c>
      <c r="P68" s="21">
        <v>46</v>
      </c>
      <c r="Q68">
        <v>4</v>
      </c>
      <c r="R68" s="2">
        <v>1252</v>
      </c>
      <c r="S68" s="2">
        <v>2295</v>
      </c>
      <c r="T68" s="2">
        <v>4172</v>
      </c>
      <c r="U68" s="2">
        <f t="shared" si="4"/>
        <v>5008</v>
      </c>
      <c r="V68" s="2">
        <f t="shared" si="5"/>
        <v>9180</v>
      </c>
    </row>
    <row r="69" spans="1:22" x14ac:dyDescent="0.3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171</v>
      </c>
      <c r="I69" s="12" t="s">
        <v>37</v>
      </c>
      <c r="J69" s="12">
        <f t="shared" si="3"/>
        <v>9</v>
      </c>
      <c r="K69" s="18" t="s">
        <v>54</v>
      </c>
      <c r="L69" s="15" t="s">
        <v>25</v>
      </c>
      <c r="M69" s="15" t="s">
        <v>26</v>
      </c>
      <c r="N69" s="21" t="s">
        <v>160</v>
      </c>
      <c r="O69" s="21" t="s">
        <v>161</v>
      </c>
      <c r="P69" s="21">
        <v>46</v>
      </c>
      <c r="Q69">
        <v>4</v>
      </c>
      <c r="R69" s="2">
        <v>1252</v>
      </c>
      <c r="S69" s="2">
        <v>2295</v>
      </c>
      <c r="T69" s="2">
        <v>4172</v>
      </c>
      <c r="U69" s="2">
        <f t="shared" si="4"/>
        <v>5008</v>
      </c>
      <c r="V69" s="2">
        <f t="shared" si="5"/>
        <v>9180</v>
      </c>
    </row>
    <row r="70" spans="1:22" x14ac:dyDescent="0.3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172</v>
      </c>
      <c r="I70" s="12" t="s">
        <v>51</v>
      </c>
      <c r="J70" s="12">
        <f t="shared" si="3"/>
        <v>7</v>
      </c>
      <c r="K70" s="18" t="s">
        <v>136</v>
      </c>
      <c r="L70" s="15" t="s">
        <v>25</v>
      </c>
      <c r="M70" s="15" t="s">
        <v>26</v>
      </c>
      <c r="N70" s="21" t="s">
        <v>164</v>
      </c>
      <c r="O70" s="21" t="s">
        <v>161</v>
      </c>
      <c r="P70" s="21">
        <v>40</v>
      </c>
      <c r="Q70">
        <v>2</v>
      </c>
      <c r="R70" s="2">
        <v>295</v>
      </c>
      <c r="S70" s="2">
        <v>540</v>
      </c>
      <c r="T70" s="2">
        <v>490</v>
      </c>
      <c r="U70" s="2">
        <f t="shared" si="4"/>
        <v>590</v>
      </c>
      <c r="V70" s="2">
        <f t="shared" si="5"/>
        <v>1080</v>
      </c>
    </row>
    <row r="71" spans="1:22" x14ac:dyDescent="0.3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171</v>
      </c>
      <c r="I71" s="12" t="s">
        <v>23</v>
      </c>
      <c r="J71" s="12">
        <f t="shared" si="3"/>
        <v>13</v>
      </c>
      <c r="K71" s="18" t="s">
        <v>138</v>
      </c>
      <c r="L71" s="15" t="s">
        <v>25</v>
      </c>
      <c r="M71" s="15" t="s">
        <v>26</v>
      </c>
      <c r="N71" s="21" t="s">
        <v>160</v>
      </c>
      <c r="O71" s="21" t="s">
        <v>161</v>
      </c>
      <c r="P71" s="21">
        <v>46</v>
      </c>
      <c r="Q71">
        <v>2</v>
      </c>
      <c r="R71" s="2">
        <v>1252</v>
      </c>
      <c r="S71" s="2">
        <v>2295</v>
      </c>
      <c r="T71" s="2">
        <v>2086</v>
      </c>
      <c r="U71" s="2">
        <f t="shared" si="4"/>
        <v>2504</v>
      </c>
      <c r="V71" s="2">
        <f t="shared" si="5"/>
        <v>4590</v>
      </c>
    </row>
    <row r="72" spans="1:22" x14ac:dyDescent="0.3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171</v>
      </c>
      <c r="I72" s="12" t="s">
        <v>37</v>
      </c>
      <c r="J72" s="12">
        <f t="shared" si="3"/>
        <v>9</v>
      </c>
      <c r="K72" s="18" t="s">
        <v>47</v>
      </c>
      <c r="L72" s="15" t="s">
        <v>25</v>
      </c>
      <c r="M72" s="15" t="s">
        <v>26</v>
      </c>
      <c r="N72" s="21" t="s">
        <v>160</v>
      </c>
      <c r="O72" s="21" t="s">
        <v>162</v>
      </c>
      <c r="P72" s="21">
        <v>38</v>
      </c>
      <c r="Q72">
        <v>1</v>
      </c>
      <c r="R72" s="2">
        <v>1266</v>
      </c>
      <c r="S72" s="2">
        <v>2320</v>
      </c>
      <c r="T72" s="2">
        <v>1054</v>
      </c>
      <c r="U72" s="2">
        <f t="shared" si="4"/>
        <v>1266</v>
      </c>
      <c r="V72" s="2">
        <f t="shared" si="5"/>
        <v>2320</v>
      </c>
    </row>
    <row r="73" spans="1:22" x14ac:dyDescent="0.3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171</v>
      </c>
      <c r="I73" s="12" t="s">
        <v>37</v>
      </c>
      <c r="J73" s="12">
        <f t="shared" si="3"/>
        <v>9</v>
      </c>
      <c r="K73" s="18" t="s">
        <v>76</v>
      </c>
      <c r="L73" s="15" t="s">
        <v>25</v>
      </c>
      <c r="M73" s="15" t="s">
        <v>26</v>
      </c>
      <c r="N73" s="21" t="s">
        <v>165</v>
      </c>
      <c r="O73" s="21" t="s">
        <v>161</v>
      </c>
      <c r="P73" s="21">
        <v>38</v>
      </c>
      <c r="Q73">
        <v>4</v>
      </c>
      <c r="R73" s="2">
        <v>1898</v>
      </c>
      <c r="S73" s="2">
        <v>3375</v>
      </c>
      <c r="T73" s="2">
        <v>5908</v>
      </c>
      <c r="U73" s="2">
        <f t="shared" si="4"/>
        <v>7592</v>
      </c>
      <c r="V73" s="2">
        <f t="shared" si="5"/>
        <v>13500</v>
      </c>
    </row>
    <row r="74" spans="1:22" x14ac:dyDescent="0.3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172</v>
      </c>
      <c r="I74" s="12" t="s">
        <v>59</v>
      </c>
      <c r="J74" s="12">
        <f t="shared" si="3"/>
        <v>6</v>
      </c>
      <c r="K74" s="18" t="s">
        <v>54</v>
      </c>
      <c r="L74" s="15" t="s">
        <v>25</v>
      </c>
      <c r="M74" s="15" t="s">
        <v>26</v>
      </c>
      <c r="N74" s="21" t="s">
        <v>160</v>
      </c>
      <c r="O74" s="21" t="s">
        <v>161</v>
      </c>
      <c r="P74" s="21">
        <v>46</v>
      </c>
      <c r="Q74">
        <v>4</v>
      </c>
      <c r="R74" s="2">
        <v>1252</v>
      </c>
      <c r="S74" s="2">
        <v>2295</v>
      </c>
      <c r="T74" s="2">
        <v>4172</v>
      </c>
      <c r="U74" s="2">
        <f t="shared" si="4"/>
        <v>5008</v>
      </c>
      <c r="V74" s="2">
        <f t="shared" si="5"/>
        <v>9180</v>
      </c>
    </row>
    <row r="75" spans="1:22" x14ac:dyDescent="0.3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172</v>
      </c>
      <c r="I75" s="12" t="s">
        <v>37</v>
      </c>
      <c r="J75" s="12">
        <f t="shared" si="3"/>
        <v>9</v>
      </c>
      <c r="K75" s="18" t="s">
        <v>60</v>
      </c>
      <c r="L75" s="15" t="s">
        <v>25</v>
      </c>
      <c r="M75" s="15" t="s">
        <v>26</v>
      </c>
      <c r="N75" s="21" t="s">
        <v>164</v>
      </c>
      <c r="O75" s="21" t="s">
        <v>161</v>
      </c>
      <c r="P75" s="21">
        <v>52</v>
      </c>
      <c r="Q75">
        <v>3</v>
      </c>
      <c r="R75" s="2">
        <v>295</v>
      </c>
      <c r="S75" s="2">
        <v>540</v>
      </c>
      <c r="T75" s="2">
        <v>735</v>
      </c>
      <c r="U75" s="2">
        <f t="shared" si="4"/>
        <v>885</v>
      </c>
      <c r="V75" s="2">
        <f t="shared" si="5"/>
        <v>1620</v>
      </c>
    </row>
    <row r="76" spans="1:22" x14ac:dyDescent="0.3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171</v>
      </c>
      <c r="I76" s="12" t="s">
        <v>37</v>
      </c>
      <c r="J76" s="12">
        <f t="shared" si="3"/>
        <v>9</v>
      </c>
      <c r="K76" s="18" t="s">
        <v>54</v>
      </c>
      <c r="L76" s="15" t="s">
        <v>25</v>
      </c>
      <c r="M76" s="15" t="s">
        <v>26</v>
      </c>
      <c r="N76" s="21" t="s">
        <v>160</v>
      </c>
      <c r="O76" s="21" t="s">
        <v>162</v>
      </c>
      <c r="P76" s="21">
        <v>38</v>
      </c>
      <c r="Q76">
        <v>1</v>
      </c>
      <c r="R76" s="2">
        <v>1266</v>
      </c>
      <c r="S76" s="2">
        <v>2320</v>
      </c>
      <c r="T76" s="2">
        <v>1054</v>
      </c>
      <c r="U76" s="2">
        <f t="shared" si="4"/>
        <v>1266</v>
      </c>
      <c r="V76" s="2">
        <f t="shared" si="5"/>
        <v>2320</v>
      </c>
    </row>
    <row r="77" spans="1:22" x14ac:dyDescent="0.3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172</v>
      </c>
      <c r="I77" s="12" t="s">
        <v>89</v>
      </c>
      <c r="J77" s="12">
        <f t="shared" si="3"/>
        <v>6</v>
      </c>
      <c r="K77" s="18" t="s">
        <v>76</v>
      </c>
      <c r="L77" s="15" t="s">
        <v>25</v>
      </c>
      <c r="M77" s="15" t="s">
        <v>26</v>
      </c>
      <c r="N77" s="21" t="s">
        <v>160</v>
      </c>
      <c r="O77" s="21" t="s">
        <v>162</v>
      </c>
      <c r="P77" s="21">
        <v>38</v>
      </c>
      <c r="Q77">
        <v>1</v>
      </c>
      <c r="R77" s="2">
        <v>1266</v>
      </c>
      <c r="S77" s="2">
        <v>2320</v>
      </c>
      <c r="T77" s="2">
        <v>1054</v>
      </c>
      <c r="U77" s="2">
        <f t="shared" si="4"/>
        <v>1266</v>
      </c>
      <c r="V77" s="2">
        <f t="shared" si="5"/>
        <v>2320</v>
      </c>
    </row>
    <row r="78" spans="1:22" x14ac:dyDescent="0.3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172</v>
      </c>
      <c r="I78" s="12" t="s">
        <v>29</v>
      </c>
      <c r="J78" s="12">
        <f t="shared" si="3"/>
        <v>14</v>
      </c>
      <c r="K78" s="18" t="s">
        <v>147</v>
      </c>
      <c r="L78" s="15" t="s">
        <v>25</v>
      </c>
      <c r="M78" s="15" t="s">
        <v>26</v>
      </c>
      <c r="N78" s="21" t="s">
        <v>160</v>
      </c>
      <c r="O78" s="21" t="s">
        <v>162</v>
      </c>
      <c r="P78" s="21">
        <v>38</v>
      </c>
      <c r="Q78">
        <v>3</v>
      </c>
      <c r="R78" s="2">
        <v>1266</v>
      </c>
      <c r="S78" s="2">
        <v>2320</v>
      </c>
      <c r="T78" s="2">
        <v>3162</v>
      </c>
      <c r="U78" s="2">
        <f t="shared" si="4"/>
        <v>3798</v>
      </c>
      <c r="V78" s="2">
        <f t="shared" si="5"/>
        <v>6960</v>
      </c>
    </row>
    <row r="79" spans="1:22" x14ac:dyDescent="0.3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172</v>
      </c>
      <c r="I79" s="12" t="s">
        <v>23</v>
      </c>
      <c r="J79" s="12">
        <f t="shared" si="3"/>
        <v>13</v>
      </c>
      <c r="K79" s="18" t="s">
        <v>30</v>
      </c>
      <c r="L79" s="15" t="s">
        <v>25</v>
      </c>
      <c r="M79" s="15" t="s">
        <v>26</v>
      </c>
      <c r="N79" s="21" t="s">
        <v>163</v>
      </c>
      <c r="O79" s="21" t="s">
        <v>162</v>
      </c>
      <c r="P79" s="21">
        <v>46</v>
      </c>
      <c r="Q79">
        <v>2</v>
      </c>
      <c r="R79" s="2">
        <v>420</v>
      </c>
      <c r="S79" s="2">
        <v>769</v>
      </c>
      <c r="T79" s="2">
        <v>698</v>
      </c>
      <c r="U79" s="2">
        <f t="shared" si="4"/>
        <v>840</v>
      </c>
      <c r="V79" s="2">
        <f t="shared" si="5"/>
        <v>1538</v>
      </c>
    </row>
    <row r="80" spans="1:22" x14ac:dyDescent="0.3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171</v>
      </c>
      <c r="I80" s="12" t="s">
        <v>23</v>
      </c>
      <c r="J80" s="12">
        <f t="shared" si="3"/>
        <v>13</v>
      </c>
      <c r="K80" s="18" t="s">
        <v>47</v>
      </c>
      <c r="L80" s="15" t="s">
        <v>25</v>
      </c>
      <c r="M80" s="15" t="s">
        <v>26</v>
      </c>
      <c r="N80" s="21" t="s">
        <v>160</v>
      </c>
      <c r="O80" s="21" t="s">
        <v>162</v>
      </c>
      <c r="P80" s="21">
        <v>38</v>
      </c>
      <c r="Q80">
        <v>3</v>
      </c>
      <c r="R80" s="2">
        <v>1266</v>
      </c>
      <c r="S80" s="2">
        <v>2320</v>
      </c>
      <c r="T80" s="2">
        <v>3162</v>
      </c>
      <c r="U80" s="2">
        <f t="shared" si="4"/>
        <v>3798</v>
      </c>
      <c r="V80" s="2">
        <f t="shared" si="5"/>
        <v>6960</v>
      </c>
    </row>
    <row r="81" spans="1:22" x14ac:dyDescent="0.3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172</v>
      </c>
      <c r="I81" s="12" t="s">
        <v>37</v>
      </c>
      <c r="J81" s="12">
        <f t="shared" si="3"/>
        <v>9</v>
      </c>
      <c r="K81" s="18" t="s">
        <v>24</v>
      </c>
      <c r="L81" s="15" t="s">
        <v>25</v>
      </c>
      <c r="M81" s="15" t="s">
        <v>26</v>
      </c>
      <c r="N81" s="21" t="s">
        <v>160</v>
      </c>
      <c r="O81" s="21" t="s">
        <v>161</v>
      </c>
      <c r="P81" s="21">
        <v>42</v>
      </c>
      <c r="Q81">
        <v>3</v>
      </c>
      <c r="R81" s="2">
        <v>1252</v>
      </c>
      <c r="S81" s="2">
        <v>2295</v>
      </c>
      <c r="T81" s="2">
        <v>3129</v>
      </c>
      <c r="U81" s="2">
        <f t="shared" si="4"/>
        <v>3756</v>
      </c>
      <c r="V81" s="2">
        <f t="shared" si="5"/>
        <v>6885</v>
      </c>
    </row>
    <row r="82" spans="1:22" x14ac:dyDescent="0.3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171</v>
      </c>
      <c r="I82" s="12" t="s">
        <v>89</v>
      </c>
      <c r="J82" s="12">
        <f t="shared" si="3"/>
        <v>6</v>
      </c>
      <c r="K82" s="18" t="s">
        <v>38</v>
      </c>
      <c r="L82" s="15" t="s">
        <v>25</v>
      </c>
      <c r="M82" s="15" t="s">
        <v>26</v>
      </c>
      <c r="N82" s="21" t="s">
        <v>164</v>
      </c>
      <c r="O82" s="21" t="s">
        <v>162</v>
      </c>
      <c r="P82" s="21">
        <v>42</v>
      </c>
      <c r="Q82">
        <v>1</v>
      </c>
      <c r="R82" s="2">
        <v>308</v>
      </c>
      <c r="S82" s="2">
        <v>565</v>
      </c>
      <c r="T82" s="2">
        <v>257</v>
      </c>
      <c r="U82" s="2">
        <f t="shared" si="4"/>
        <v>308</v>
      </c>
      <c r="V82" s="2">
        <f t="shared" si="5"/>
        <v>565</v>
      </c>
    </row>
    <row r="83" spans="1:22" x14ac:dyDescent="0.3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172</v>
      </c>
      <c r="I83" s="12" t="s">
        <v>59</v>
      </c>
      <c r="J83" s="12">
        <f t="shared" si="3"/>
        <v>6</v>
      </c>
      <c r="K83" s="18" t="s">
        <v>90</v>
      </c>
      <c r="L83" s="15" t="s">
        <v>25</v>
      </c>
      <c r="M83" s="15" t="s">
        <v>26</v>
      </c>
      <c r="N83" s="21" t="s">
        <v>160</v>
      </c>
      <c r="O83" s="21" t="s">
        <v>161</v>
      </c>
      <c r="P83" s="21">
        <v>38</v>
      </c>
      <c r="Q83">
        <v>1</v>
      </c>
      <c r="R83" s="2">
        <v>1252</v>
      </c>
      <c r="S83" s="2">
        <v>2295</v>
      </c>
      <c r="T83" s="2">
        <v>1043</v>
      </c>
      <c r="U83" s="2">
        <f t="shared" si="4"/>
        <v>1252</v>
      </c>
      <c r="V83" s="2">
        <f t="shared" si="5"/>
        <v>2295</v>
      </c>
    </row>
    <row r="84" spans="1:22" x14ac:dyDescent="0.3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171</v>
      </c>
      <c r="I84" s="12" t="s">
        <v>51</v>
      </c>
      <c r="J84" s="12">
        <f t="shared" si="3"/>
        <v>7</v>
      </c>
      <c r="K84" s="18" t="s">
        <v>60</v>
      </c>
      <c r="L84" s="15" t="s">
        <v>25</v>
      </c>
      <c r="M84" s="15" t="s">
        <v>26</v>
      </c>
      <c r="N84" s="21" t="s">
        <v>160</v>
      </c>
      <c r="O84" s="21" t="s">
        <v>161</v>
      </c>
      <c r="P84" s="21">
        <v>46</v>
      </c>
      <c r="Q84">
        <v>1</v>
      </c>
      <c r="R84" s="2">
        <v>1252</v>
      </c>
      <c r="S84" s="2">
        <v>2295</v>
      </c>
      <c r="T84" s="2">
        <v>1043</v>
      </c>
      <c r="U84" s="2">
        <f t="shared" si="4"/>
        <v>1252</v>
      </c>
      <c r="V84" s="2">
        <f t="shared" si="5"/>
        <v>2295</v>
      </c>
    </row>
    <row r="85" spans="1:22" x14ac:dyDescent="0.3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172</v>
      </c>
      <c r="I85" s="12" t="s">
        <v>23</v>
      </c>
      <c r="J85" s="12">
        <f t="shared" si="3"/>
        <v>13</v>
      </c>
      <c r="K85" s="18" t="s">
        <v>138</v>
      </c>
      <c r="L85" s="15" t="s">
        <v>25</v>
      </c>
      <c r="M85" s="15" t="s">
        <v>26</v>
      </c>
      <c r="N85" s="21" t="s">
        <v>160</v>
      </c>
      <c r="O85" s="21" t="s">
        <v>162</v>
      </c>
      <c r="P85" s="21">
        <v>38</v>
      </c>
      <c r="Q85">
        <v>1</v>
      </c>
      <c r="R85" s="2">
        <v>1266</v>
      </c>
      <c r="S85" s="2">
        <v>2320</v>
      </c>
      <c r="T85" s="2">
        <v>1054</v>
      </c>
      <c r="U85" s="2">
        <f t="shared" si="4"/>
        <v>1266</v>
      </c>
      <c r="V85" s="2">
        <f t="shared" si="5"/>
        <v>2320</v>
      </c>
    </row>
    <row r="86" spans="1:22" x14ac:dyDescent="0.3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171</v>
      </c>
      <c r="I86" s="12" t="s">
        <v>59</v>
      </c>
      <c r="J86" s="12">
        <f t="shared" si="3"/>
        <v>6</v>
      </c>
      <c r="K86" s="18" t="s">
        <v>72</v>
      </c>
      <c r="L86" s="15" t="s">
        <v>25</v>
      </c>
      <c r="M86" s="15" t="s">
        <v>26</v>
      </c>
      <c r="N86" s="21" t="s">
        <v>160</v>
      </c>
      <c r="O86" s="21" t="s">
        <v>162</v>
      </c>
      <c r="P86" s="21">
        <v>42</v>
      </c>
      <c r="Q86">
        <v>1</v>
      </c>
      <c r="R86" s="2">
        <v>1266</v>
      </c>
      <c r="S86" s="2">
        <v>2320</v>
      </c>
      <c r="T86" s="2">
        <v>1054</v>
      </c>
      <c r="U86" s="2">
        <f t="shared" si="4"/>
        <v>1266</v>
      </c>
      <c r="V86" s="2">
        <f t="shared" si="5"/>
        <v>2320</v>
      </c>
    </row>
    <row r="87" spans="1:22" x14ac:dyDescent="0.3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171</v>
      </c>
      <c r="I87" s="12" t="s">
        <v>23</v>
      </c>
      <c r="J87" s="12">
        <f t="shared" si="3"/>
        <v>13</v>
      </c>
      <c r="K87" s="18" t="s">
        <v>60</v>
      </c>
      <c r="L87" s="15" t="s">
        <v>25</v>
      </c>
      <c r="M87" s="15" t="s">
        <v>26</v>
      </c>
      <c r="N87" s="21" t="s">
        <v>160</v>
      </c>
      <c r="O87" s="21" t="s">
        <v>161</v>
      </c>
      <c r="P87" s="21">
        <v>42</v>
      </c>
      <c r="Q87">
        <v>1</v>
      </c>
      <c r="R87" s="2">
        <v>1252</v>
      </c>
      <c r="S87" s="2">
        <v>2295</v>
      </c>
      <c r="T87" s="2">
        <v>1043</v>
      </c>
      <c r="U87" s="2">
        <f t="shared" si="4"/>
        <v>1252</v>
      </c>
      <c r="V87" s="2">
        <f t="shared" si="5"/>
        <v>2295</v>
      </c>
    </row>
    <row r="88" spans="1:22" x14ac:dyDescent="0.3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171</v>
      </c>
      <c r="I88" s="12" t="s">
        <v>37</v>
      </c>
      <c r="J88" s="12">
        <f t="shared" si="3"/>
        <v>9</v>
      </c>
      <c r="K88" s="18" t="s">
        <v>24</v>
      </c>
      <c r="L88" s="15" t="s">
        <v>25</v>
      </c>
      <c r="M88" s="15" t="s">
        <v>26</v>
      </c>
      <c r="N88" s="21" t="s">
        <v>164</v>
      </c>
      <c r="O88" s="21" t="s">
        <v>161</v>
      </c>
      <c r="P88" s="21">
        <v>42</v>
      </c>
      <c r="Q88">
        <v>1</v>
      </c>
      <c r="R88" s="2">
        <v>295</v>
      </c>
      <c r="S88" s="2">
        <v>540</v>
      </c>
      <c r="T88" s="2">
        <v>245</v>
      </c>
      <c r="U88" s="2">
        <f t="shared" si="4"/>
        <v>295</v>
      </c>
      <c r="V88" s="2">
        <f t="shared" si="5"/>
        <v>540</v>
      </c>
    </row>
    <row r="89" spans="1:22" x14ac:dyDescent="0.3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172</v>
      </c>
      <c r="I89" s="12" t="s">
        <v>37</v>
      </c>
      <c r="J89" s="12">
        <f t="shared" si="3"/>
        <v>9</v>
      </c>
      <c r="K89" s="18" t="s">
        <v>54</v>
      </c>
      <c r="L89" s="15" t="s">
        <v>25</v>
      </c>
      <c r="M89" s="15" t="s">
        <v>26</v>
      </c>
      <c r="N89" s="21" t="s">
        <v>160</v>
      </c>
      <c r="O89" s="21" t="s">
        <v>161</v>
      </c>
      <c r="P89" s="21">
        <v>42</v>
      </c>
      <c r="Q89">
        <v>4</v>
      </c>
      <c r="R89" s="2">
        <v>1252</v>
      </c>
      <c r="S89" s="2">
        <v>2295</v>
      </c>
      <c r="T89" s="2">
        <v>4172</v>
      </c>
      <c r="U89" s="2">
        <f t="shared" si="4"/>
        <v>5008</v>
      </c>
      <c r="V89" s="2">
        <f t="shared" si="5"/>
        <v>9180</v>
      </c>
    </row>
  </sheetData>
  <conditionalFormatting sqref="A1:A1048576">
    <cfRule type="duplicateValues" dxfId="31" priority="6"/>
  </conditionalFormatting>
  <conditionalFormatting sqref="A1:F89">
    <cfRule type="containsText" dxfId="30" priority="5" operator="containsText" text="Sales_Order #">
      <formula>NOT(ISERROR(SEARCH("Sales_Order #",A1)))</formula>
    </cfRule>
  </conditionalFormatting>
  <conditionalFormatting sqref="H1:V89 A1:F89">
    <cfRule type="containsBlanks" dxfId="29" priority="3">
      <formula>LEN(TRIM(A1))=0</formula>
    </cfRule>
  </conditionalFormatting>
  <conditionalFormatting sqref="H1:V89">
    <cfRule type="containsText" dxfId="28" priority="4" operator="containsText" text="Sales_Order #">
      <formula>NOT(ISERROR(SEARCH("Sales_Order #",H1)))</formula>
    </cfRule>
  </conditionalFormatting>
  <conditionalFormatting sqref="R1:R1048576">
    <cfRule type="cellIs" dxfId="27" priority="2" operator="equal">
      <formula>"$956.00 "</formula>
    </cfRule>
  </conditionalFormatting>
  <conditionalFormatting sqref="R1:S1048576">
    <cfRule type="cellIs" dxfId="26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workbookViewId="0">
      <selection activeCell="O15" sqref="O15"/>
    </sheetView>
  </sheetViews>
  <sheetFormatPr defaultRowHeight="14.4" x14ac:dyDescent="0.3"/>
  <cols>
    <col min="1" max="1" width="15.109375" customWidth="1"/>
    <col min="2" max="2" width="10.6640625" bestFit="1" customWidth="1"/>
    <col min="4" max="4" width="10.109375" bestFit="1" customWidth="1"/>
    <col min="6" max="6" width="10" customWidth="1"/>
    <col min="7" max="7" width="19.5546875" style="4" customWidth="1"/>
    <col min="8" max="8" width="9.44140625" customWidth="1"/>
    <col min="9" max="9" width="14" style="12" customWidth="1"/>
    <col min="10" max="10" width="19.6640625" style="18" customWidth="1"/>
    <col min="11" max="11" width="17.6640625" style="15" customWidth="1"/>
    <col min="12" max="12" width="16.5546875" style="15" customWidth="1"/>
    <col min="13" max="13" width="27.5546875" style="15" customWidth="1"/>
    <col min="14" max="14" width="10.33203125" customWidth="1"/>
    <col min="15" max="15" width="10" customWidth="1"/>
    <col min="16" max="16" width="11.88671875" customWidth="1"/>
    <col min="17" max="18" width="9.88671875" bestFit="1" customWidth="1"/>
    <col min="19" max="19" width="10.88671875" bestFit="1" customWidth="1"/>
  </cols>
  <sheetData>
    <row r="1" spans="1:19" s="10" customFormat="1" ht="97.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7" t="s">
        <v>9</v>
      </c>
      <c r="K1" s="14" t="s">
        <v>10</v>
      </c>
      <c r="L1" s="14" t="s">
        <v>11</v>
      </c>
      <c r="M1" s="2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4" t="s">
        <v>21</v>
      </c>
      <c r="H2" t="s">
        <v>22</v>
      </c>
      <c r="I2" s="12" t="s">
        <v>23</v>
      </c>
      <c r="J2" s="18" t="s">
        <v>24</v>
      </c>
      <c r="K2" s="15" t="s">
        <v>25</v>
      </c>
      <c r="L2" s="15" t="s">
        <v>26</v>
      </c>
      <c r="M2" s="21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4" t="s">
        <v>21</v>
      </c>
      <c r="H3" t="s">
        <v>28</v>
      </c>
      <c r="I3" s="12" t="s">
        <v>29</v>
      </c>
      <c r="J3" s="18" t="s">
        <v>30</v>
      </c>
      <c r="K3" s="15" t="s">
        <v>25</v>
      </c>
      <c r="L3" s="15" t="s">
        <v>26</v>
      </c>
      <c r="M3" s="21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4" t="s">
        <v>21</v>
      </c>
      <c r="H4" t="s">
        <v>28</v>
      </c>
      <c r="I4" s="12" t="s">
        <v>33</v>
      </c>
      <c r="J4" s="18" t="s">
        <v>24</v>
      </c>
      <c r="K4" s="15" t="s">
        <v>25</v>
      </c>
      <c r="L4" s="15" t="s">
        <v>26</v>
      </c>
      <c r="M4" s="21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4" t="s">
        <v>36</v>
      </c>
      <c r="H5" t="s">
        <v>22</v>
      </c>
      <c r="I5" s="12" t="s">
        <v>37</v>
      </c>
      <c r="J5" s="18" t="s">
        <v>38</v>
      </c>
      <c r="K5" s="15" t="s">
        <v>25</v>
      </c>
      <c r="L5" s="15" t="s">
        <v>26</v>
      </c>
      <c r="M5" s="21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4" t="s">
        <v>21</v>
      </c>
      <c r="H6" t="s">
        <v>22</v>
      </c>
      <c r="I6" s="12" t="s">
        <v>41</v>
      </c>
      <c r="J6" s="18" t="s">
        <v>24</v>
      </c>
      <c r="K6" s="15" t="s">
        <v>25</v>
      </c>
      <c r="L6" s="15" t="s">
        <v>26</v>
      </c>
      <c r="M6" s="21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4" t="s">
        <v>43</v>
      </c>
      <c r="H7" t="s">
        <v>22</v>
      </c>
      <c r="I7" s="12" t="s">
        <v>29</v>
      </c>
      <c r="J7" s="18" t="s">
        <v>30</v>
      </c>
      <c r="K7" s="15" t="s">
        <v>25</v>
      </c>
      <c r="L7" s="15" t="s">
        <v>26</v>
      </c>
      <c r="M7" s="21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4" t="s">
        <v>21</v>
      </c>
      <c r="H8" t="s">
        <v>28</v>
      </c>
      <c r="I8" s="12" t="s">
        <v>46</v>
      </c>
      <c r="J8" s="18" t="s">
        <v>47</v>
      </c>
      <c r="K8" s="15" t="s">
        <v>25</v>
      </c>
      <c r="L8" s="15" t="s">
        <v>26</v>
      </c>
      <c r="M8" s="21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5" customFormat="1" x14ac:dyDescent="0.3">
      <c r="A9" s="7" t="s">
        <v>45</v>
      </c>
      <c r="B9" s="8">
        <v>44533</v>
      </c>
      <c r="C9" s="5">
        <v>3</v>
      </c>
      <c r="D9" s="5" t="s">
        <v>20</v>
      </c>
      <c r="E9" s="5">
        <v>2021</v>
      </c>
      <c r="F9" s="5">
        <v>37</v>
      </c>
      <c r="G9" s="9" t="s">
        <v>21</v>
      </c>
      <c r="H9" s="5" t="s">
        <v>28</v>
      </c>
      <c r="I9" s="13" t="s">
        <v>23</v>
      </c>
      <c r="J9" s="19" t="s">
        <v>47</v>
      </c>
      <c r="K9" s="16" t="s">
        <v>25</v>
      </c>
      <c r="L9" s="16" t="s">
        <v>26</v>
      </c>
      <c r="M9" s="22" t="s">
        <v>27</v>
      </c>
      <c r="N9" s="5">
        <v>1</v>
      </c>
      <c r="O9" s="6">
        <v>1252</v>
      </c>
      <c r="P9" s="6">
        <v>2295</v>
      </c>
      <c r="Q9" s="6">
        <v>1043</v>
      </c>
      <c r="R9" s="6">
        <f t="shared" si="0"/>
        <v>1252</v>
      </c>
      <c r="S9" s="6">
        <f t="shared" si="1"/>
        <v>2295</v>
      </c>
    </row>
    <row r="10" spans="1:19" x14ac:dyDescent="0.3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4" t="s">
        <v>36</v>
      </c>
      <c r="H10" t="s">
        <v>22</v>
      </c>
      <c r="I10" s="12" t="s">
        <v>37</v>
      </c>
      <c r="J10" s="18" t="s">
        <v>38</v>
      </c>
      <c r="K10" s="15" t="s">
        <v>25</v>
      </c>
      <c r="L10" s="15" t="s">
        <v>26</v>
      </c>
      <c r="M10" s="21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3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4" t="s">
        <v>21</v>
      </c>
      <c r="H11" t="s">
        <v>22</v>
      </c>
      <c r="I11" s="12" t="s">
        <v>23</v>
      </c>
      <c r="J11" s="18" t="s">
        <v>24</v>
      </c>
      <c r="K11" s="15" t="s">
        <v>25</v>
      </c>
      <c r="L11" s="15" t="s">
        <v>26</v>
      </c>
      <c r="M11" s="21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4" t="s">
        <v>21</v>
      </c>
      <c r="H12" t="s">
        <v>28</v>
      </c>
      <c r="I12" s="12" t="s">
        <v>51</v>
      </c>
      <c r="J12" s="18" t="s">
        <v>52</v>
      </c>
      <c r="K12" s="15" t="s">
        <v>25</v>
      </c>
      <c r="L12" s="15" t="s">
        <v>26</v>
      </c>
      <c r="M12" s="21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3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4" t="s">
        <v>21</v>
      </c>
      <c r="H13" t="s">
        <v>22</v>
      </c>
      <c r="I13" s="12" t="s">
        <v>37</v>
      </c>
      <c r="J13" s="18" t="s">
        <v>54</v>
      </c>
      <c r="K13" s="15" t="s">
        <v>25</v>
      </c>
      <c r="L13" s="15" t="s">
        <v>26</v>
      </c>
      <c r="M13" s="21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3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4" t="s">
        <v>21</v>
      </c>
      <c r="H14" t="s">
        <v>22</v>
      </c>
      <c r="I14" s="12" t="s">
        <v>23</v>
      </c>
      <c r="J14" s="18" t="s">
        <v>24</v>
      </c>
      <c r="K14" s="15" t="s">
        <v>25</v>
      </c>
      <c r="L14" s="15" t="s">
        <v>26</v>
      </c>
      <c r="M14" s="21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4" t="s">
        <v>43</v>
      </c>
      <c r="H15" t="s">
        <v>28</v>
      </c>
      <c r="I15" s="12" t="s">
        <v>29</v>
      </c>
      <c r="J15" s="18" t="s">
        <v>30</v>
      </c>
      <c r="K15" s="15" t="s">
        <v>25</v>
      </c>
      <c r="L15" s="15" t="s">
        <v>26</v>
      </c>
      <c r="M15" s="21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3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4" t="s">
        <v>36</v>
      </c>
      <c r="H16" t="s">
        <v>28</v>
      </c>
      <c r="I16" s="12" t="s">
        <v>59</v>
      </c>
      <c r="J16" s="18" t="s">
        <v>60</v>
      </c>
      <c r="K16" s="15" t="s">
        <v>25</v>
      </c>
      <c r="L16" s="15" t="s">
        <v>26</v>
      </c>
      <c r="M16" s="21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s="12" t="s">
        <v>37</v>
      </c>
      <c r="J17" s="18" t="s">
        <v>38</v>
      </c>
      <c r="K17" s="15" t="s">
        <v>25</v>
      </c>
      <c r="L17" s="15" t="s">
        <v>26</v>
      </c>
      <c r="M17" s="21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3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4" t="s">
        <v>21</v>
      </c>
      <c r="H18" t="s">
        <v>28</v>
      </c>
      <c r="I18" s="12" t="s">
        <v>29</v>
      </c>
      <c r="J18" s="18" t="s">
        <v>30</v>
      </c>
      <c r="K18" s="15" t="s">
        <v>25</v>
      </c>
      <c r="L18" s="15" t="s">
        <v>26</v>
      </c>
      <c r="M18" s="21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3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4" t="s">
        <v>36</v>
      </c>
      <c r="H19" t="s">
        <v>28</v>
      </c>
      <c r="I19" s="12" t="s">
        <v>23</v>
      </c>
      <c r="J19" s="18" t="s">
        <v>24</v>
      </c>
      <c r="K19" s="15" t="s">
        <v>25</v>
      </c>
      <c r="L19" s="15" t="s">
        <v>26</v>
      </c>
      <c r="M19" s="21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3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4" t="s">
        <v>21</v>
      </c>
      <c r="H20" t="s">
        <v>28</v>
      </c>
      <c r="I20" s="12" t="s">
        <v>23</v>
      </c>
      <c r="J20" s="18" t="s">
        <v>24</v>
      </c>
      <c r="K20" s="15" t="s">
        <v>25</v>
      </c>
      <c r="L20" s="15" t="s">
        <v>26</v>
      </c>
      <c r="M20" s="21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4" t="s">
        <v>43</v>
      </c>
      <c r="H21" t="s">
        <v>22</v>
      </c>
      <c r="I21" s="12" t="s">
        <v>37</v>
      </c>
      <c r="J21" s="18" t="s">
        <v>38</v>
      </c>
      <c r="K21" s="15" t="s">
        <v>25</v>
      </c>
      <c r="L21" s="15" t="s">
        <v>26</v>
      </c>
      <c r="M21" s="21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3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4" t="s">
        <v>36</v>
      </c>
      <c r="H22" t="s">
        <v>22</v>
      </c>
      <c r="I22" s="12" t="s">
        <v>59</v>
      </c>
      <c r="J22" s="18" t="s">
        <v>60</v>
      </c>
      <c r="K22" s="15" t="s">
        <v>25</v>
      </c>
      <c r="L22" s="15" t="s">
        <v>26</v>
      </c>
      <c r="M22" s="21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4" t="s">
        <v>21</v>
      </c>
      <c r="H23" t="s">
        <v>22</v>
      </c>
      <c r="I23" s="12" t="s">
        <v>23</v>
      </c>
      <c r="J23" s="18" t="s">
        <v>72</v>
      </c>
      <c r="K23" s="15" t="s">
        <v>25</v>
      </c>
      <c r="L23" s="15" t="s">
        <v>26</v>
      </c>
      <c r="M23" s="21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3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4" t="s">
        <v>21</v>
      </c>
      <c r="H24" t="s">
        <v>22</v>
      </c>
      <c r="I24" s="12" t="s">
        <v>23</v>
      </c>
      <c r="J24" s="18" t="s">
        <v>24</v>
      </c>
      <c r="K24" s="15" t="s">
        <v>25</v>
      </c>
      <c r="L24" s="15" t="s">
        <v>26</v>
      </c>
      <c r="M24" s="21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4" t="s">
        <v>36</v>
      </c>
      <c r="H25" t="s">
        <v>22</v>
      </c>
      <c r="I25" s="12" t="s">
        <v>37</v>
      </c>
      <c r="J25" s="18" t="s">
        <v>76</v>
      </c>
      <c r="K25" s="15" t="s">
        <v>25</v>
      </c>
      <c r="L25" s="15" t="s">
        <v>26</v>
      </c>
      <c r="M25" s="21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3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4" t="s">
        <v>21</v>
      </c>
      <c r="H26" t="s">
        <v>22</v>
      </c>
      <c r="I26" s="12" t="s">
        <v>51</v>
      </c>
      <c r="J26" s="18" t="s">
        <v>79</v>
      </c>
      <c r="K26" s="15" t="s">
        <v>25</v>
      </c>
      <c r="L26" s="15" t="s">
        <v>26</v>
      </c>
      <c r="M26" s="21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3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4" t="s">
        <v>36</v>
      </c>
      <c r="H27" t="s">
        <v>22</v>
      </c>
      <c r="I27" s="12" t="s">
        <v>23</v>
      </c>
      <c r="J27" s="18" t="s">
        <v>24</v>
      </c>
      <c r="K27" s="15" t="s">
        <v>25</v>
      </c>
      <c r="L27" s="15" t="s">
        <v>26</v>
      </c>
      <c r="M27" s="21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4" t="s">
        <v>21</v>
      </c>
      <c r="H28" t="s">
        <v>28</v>
      </c>
      <c r="I28" s="12" t="s">
        <v>37</v>
      </c>
      <c r="J28" s="18" t="s">
        <v>38</v>
      </c>
      <c r="K28" s="15" t="s">
        <v>25</v>
      </c>
      <c r="L28" s="15" t="s">
        <v>26</v>
      </c>
      <c r="M28" s="21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3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4" t="s">
        <v>36</v>
      </c>
      <c r="H29" t="s">
        <v>28</v>
      </c>
      <c r="I29" s="12" t="s">
        <v>29</v>
      </c>
      <c r="J29" s="18" t="s">
        <v>30</v>
      </c>
      <c r="K29" s="15" t="s">
        <v>25</v>
      </c>
      <c r="L29" s="15" t="s">
        <v>26</v>
      </c>
      <c r="M29" s="21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4" t="s">
        <v>36</v>
      </c>
      <c r="H30" t="s">
        <v>28</v>
      </c>
      <c r="I30" s="12" t="s">
        <v>23</v>
      </c>
      <c r="J30" s="18" t="s">
        <v>24</v>
      </c>
      <c r="K30" s="15" t="s">
        <v>25</v>
      </c>
      <c r="L30" s="15" t="s">
        <v>26</v>
      </c>
      <c r="M30" s="21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4" t="s">
        <v>36</v>
      </c>
      <c r="H31" t="s">
        <v>22</v>
      </c>
      <c r="I31" s="12" t="s">
        <v>23</v>
      </c>
      <c r="J31" s="18" t="s">
        <v>47</v>
      </c>
      <c r="K31" s="15" t="s">
        <v>25</v>
      </c>
      <c r="L31" s="15" t="s">
        <v>26</v>
      </c>
      <c r="M31" s="21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3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4" t="s">
        <v>21</v>
      </c>
      <c r="H32" t="s">
        <v>28</v>
      </c>
      <c r="I32" s="12" t="s">
        <v>37</v>
      </c>
      <c r="J32" s="18" t="s">
        <v>38</v>
      </c>
      <c r="K32" s="15" t="s">
        <v>25</v>
      </c>
      <c r="L32" s="15" t="s">
        <v>26</v>
      </c>
      <c r="M32" s="21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4" t="s">
        <v>43</v>
      </c>
      <c r="H33" t="s">
        <v>22</v>
      </c>
      <c r="I33" s="12" t="s">
        <v>89</v>
      </c>
      <c r="J33" s="18" t="s">
        <v>90</v>
      </c>
      <c r="K33" s="15" t="s">
        <v>25</v>
      </c>
      <c r="L33" s="15" t="s">
        <v>26</v>
      </c>
      <c r="M33" s="21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3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4" t="s">
        <v>21</v>
      </c>
      <c r="H34" t="s">
        <v>22</v>
      </c>
      <c r="I34" s="12" t="s">
        <v>37</v>
      </c>
      <c r="J34" s="18" t="s">
        <v>38</v>
      </c>
      <c r="K34" s="15" t="s">
        <v>25</v>
      </c>
      <c r="L34" s="15" t="s">
        <v>26</v>
      </c>
      <c r="M34" s="21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3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4" t="s">
        <v>36</v>
      </c>
      <c r="H35" t="s">
        <v>28</v>
      </c>
      <c r="I35" s="12" t="s">
        <v>59</v>
      </c>
      <c r="J35" s="18" t="s">
        <v>60</v>
      </c>
      <c r="K35" s="15" t="s">
        <v>25</v>
      </c>
      <c r="L35" s="15" t="s">
        <v>26</v>
      </c>
      <c r="M35" s="21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3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4" t="s">
        <v>21</v>
      </c>
      <c r="H36" t="s">
        <v>28</v>
      </c>
      <c r="I36" s="12" t="s">
        <v>23</v>
      </c>
      <c r="J36" s="18" t="s">
        <v>24</v>
      </c>
      <c r="K36" s="15" t="s">
        <v>25</v>
      </c>
      <c r="L36" s="15" t="s">
        <v>26</v>
      </c>
      <c r="M36" s="21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3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4" t="s">
        <v>21</v>
      </c>
      <c r="H37" t="s">
        <v>22</v>
      </c>
      <c r="I37" s="12" t="s">
        <v>23</v>
      </c>
      <c r="J37" s="18" t="s">
        <v>24</v>
      </c>
      <c r="K37" s="15" t="s">
        <v>25</v>
      </c>
      <c r="L37" s="15" t="s">
        <v>26</v>
      </c>
      <c r="M37" s="21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3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4" t="s">
        <v>21</v>
      </c>
      <c r="H38" t="s">
        <v>22</v>
      </c>
      <c r="I38" s="12" t="s">
        <v>37</v>
      </c>
      <c r="J38" s="18" t="s">
        <v>38</v>
      </c>
      <c r="K38" s="15" t="s">
        <v>25</v>
      </c>
      <c r="L38" s="15" t="s">
        <v>26</v>
      </c>
      <c r="M38" s="21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3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4" t="s">
        <v>21</v>
      </c>
      <c r="H39" t="s">
        <v>28</v>
      </c>
      <c r="I39" s="12" t="s">
        <v>23</v>
      </c>
      <c r="J39" s="18" t="s">
        <v>24</v>
      </c>
      <c r="K39" s="15" t="s">
        <v>25</v>
      </c>
      <c r="L39" s="15" t="s">
        <v>26</v>
      </c>
      <c r="M39" s="21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3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4" t="s">
        <v>36</v>
      </c>
      <c r="H40" t="s">
        <v>28</v>
      </c>
      <c r="I40" s="12" t="s">
        <v>37</v>
      </c>
      <c r="J40" s="18" t="s">
        <v>38</v>
      </c>
      <c r="K40" s="15" t="s">
        <v>25</v>
      </c>
      <c r="L40" s="15" t="s">
        <v>26</v>
      </c>
      <c r="M40" s="21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3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4" t="s">
        <v>21</v>
      </c>
      <c r="H41" t="s">
        <v>22</v>
      </c>
      <c r="I41" s="12" t="s">
        <v>37</v>
      </c>
      <c r="J41" s="18" t="s">
        <v>76</v>
      </c>
      <c r="K41" s="15" t="s">
        <v>25</v>
      </c>
      <c r="L41" s="15" t="s">
        <v>26</v>
      </c>
      <c r="M41" s="21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4" t="s">
        <v>21</v>
      </c>
      <c r="H42" t="s">
        <v>22</v>
      </c>
      <c r="I42" s="12" t="s">
        <v>23</v>
      </c>
      <c r="J42" s="18" t="s">
        <v>47</v>
      </c>
      <c r="K42" s="15" t="s">
        <v>25</v>
      </c>
      <c r="L42" s="15" t="s">
        <v>26</v>
      </c>
      <c r="M42" s="21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3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4" t="s">
        <v>36</v>
      </c>
      <c r="H43" t="s">
        <v>22</v>
      </c>
      <c r="I43" s="12" t="s">
        <v>37</v>
      </c>
      <c r="J43" s="18" t="s">
        <v>54</v>
      </c>
      <c r="K43" s="15" t="s">
        <v>25</v>
      </c>
      <c r="L43" s="15" t="s">
        <v>26</v>
      </c>
      <c r="M43" s="21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4" t="s">
        <v>21</v>
      </c>
      <c r="H44" t="s">
        <v>22</v>
      </c>
      <c r="I44" s="12" t="s">
        <v>23</v>
      </c>
      <c r="J44" s="18" t="s">
        <v>24</v>
      </c>
      <c r="K44" s="15" t="s">
        <v>25</v>
      </c>
      <c r="L44" s="15" t="s">
        <v>26</v>
      </c>
      <c r="M44" s="21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3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4" t="s">
        <v>21</v>
      </c>
      <c r="H45" t="s">
        <v>22</v>
      </c>
      <c r="I45" s="12" t="s">
        <v>29</v>
      </c>
      <c r="J45" s="18" t="s">
        <v>30</v>
      </c>
      <c r="K45" s="15" t="s">
        <v>25</v>
      </c>
      <c r="L45" s="15" t="s">
        <v>26</v>
      </c>
      <c r="M45" s="21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4" t="s">
        <v>21</v>
      </c>
      <c r="H46" t="s">
        <v>28</v>
      </c>
      <c r="I46" s="12" t="s">
        <v>29</v>
      </c>
      <c r="J46" s="18" t="s">
        <v>30</v>
      </c>
      <c r="K46" s="15" t="s">
        <v>25</v>
      </c>
      <c r="L46" s="15" t="s">
        <v>26</v>
      </c>
      <c r="M46" s="21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3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4" t="s">
        <v>36</v>
      </c>
      <c r="H47" t="s">
        <v>22</v>
      </c>
      <c r="I47" s="12" t="s">
        <v>23</v>
      </c>
      <c r="J47" s="18" t="s">
        <v>47</v>
      </c>
      <c r="K47" s="15" t="s">
        <v>25</v>
      </c>
      <c r="L47" s="15" t="s">
        <v>26</v>
      </c>
      <c r="M47" s="21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3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4" t="s">
        <v>36</v>
      </c>
      <c r="H48" t="s">
        <v>28</v>
      </c>
      <c r="I48" s="12" t="s">
        <v>23</v>
      </c>
      <c r="J48" s="18" t="s">
        <v>24</v>
      </c>
      <c r="K48" s="15" t="s">
        <v>25</v>
      </c>
      <c r="L48" s="15" t="s">
        <v>26</v>
      </c>
      <c r="M48" s="21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3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4" t="s">
        <v>36</v>
      </c>
      <c r="H49" t="s">
        <v>22</v>
      </c>
      <c r="I49" s="12" t="s">
        <v>37</v>
      </c>
      <c r="J49" s="18" t="s">
        <v>76</v>
      </c>
      <c r="K49" s="15" t="s">
        <v>25</v>
      </c>
      <c r="L49" s="15" t="s">
        <v>26</v>
      </c>
      <c r="M49" s="21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3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4" t="s">
        <v>36</v>
      </c>
      <c r="H50" t="s">
        <v>22</v>
      </c>
      <c r="I50" s="12" t="s">
        <v>23</v>
      </c>
      <c r="J50" s="18" t="s">
        <v>24</v>
      </c>
      <c r="K50" s="15" t="s">
        <v>25</v>
      </c>
      <c r="L50" s="15" t="s">
        <v>26</v>
      </c>
      <c r="M50" s="21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3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4" t="s">
        <v>36</v>
      </c>
      <c r="H51" t="s">
        <v>22</v>
      </c>
      <c r="I51" s="12" t="s">
        <v>37</v>
      </c>
      <c r="J51" s="18" t="s">
        <v>38</v>
      </c>
      <c r="K51" s="15" t="s">
        <v>25</v>
      </c>
      <c r="L51" s="15" t="s">
        <v>26</v>
      </c>
      <c r="M51" s="21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4" t="s">
        <v>21</v>
      </c>
      <c r="H52" t="s">
        <v>28</v>
      </c>
      <c r="I52" s="12" t="s">
        <v>37</v>
      </c>
      <c r="J52" s="18" t="s">
        <v>38</v>
      </c>
      <c r="K52" s="15" t="s">
        <v>25</v>
      </c>
      <c r="L52" s="15" t="s">
        <v>26</v>
      </c>
      <c r="M52" s="21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3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4" t="s">
        <v>36</v>
      </c>
      <c r="H53" t="s">
        <v>22</v>
      </c>
      <c r="I53" s="12" t="s">
        <v>89</v>
      </c>
      <c r="J53" s="18" t="s">
        <v>112</v>
      </c>
      <c r="K53" s="15" t="s">
        <v>25</v>
      </c>
      <c r="L53" s="15" t="s">
        <v>26</v>
      </c>
      <c r="M53" s="21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3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4" t="s">
        <v>21</v>
      </c>
      <c r="H54" t="s">
        <v>22</v>
      </c>
      <c r="I54" s="12" t="s">
        <v>23</v>
      </c>
      <c r="J54" s="18" t="s">
        <v>47</v>
      </c>
      <c r="K54" s="15" t="s">
        <v>25</v>
      </c>
      <c r="L54" s="15" t="s">
        <v>26</v>
      </c>
      <c r="M54" s="21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3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4" t="s">
        <v>36</v>
      </c>
      <c r="H55" t="s">
        <v>28</v>
      </c>
      <c r="I55" s="12" t="s">
        <v>37</v>
      </c>
      <c r="J55" s="18" t="s">
        <v>38</v>
      </c>
      <c r="K55" s="15" t="s">
        <v>25</v>
      </c>
      <c r="L55" s="15" t="s">
        <v>26</v>
      </c>
      <c r="M55" s="21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3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4" t="s">
        <v>21</v>
      </c>
      <c r="H56" t="s">
        <v>22</v>
      </c>
      <c r="I56" s="12" t="s">
        <v>51</v>
      </c>
      <c r="J56" s="18" t="s">
        <v>52</v>
      </c>
      <c r="K56" s="15" t="s">
        <v>25</v>
      </c>
      <c r="L56" s="15" t="s">
        <v>26</v>
      </c>
      <c r="M56" s="21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3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4" t="s">
        <v>21</v>
      </c>
      <c r="H57" t="s">
        <v>22</v>
      </c>
      <c r="I57" s="12" t="s">
        <v>37</v>
      </c>
      <c r="J57" s="18" t="s">
        <v>38</v>
      </c>
      <c r="K57" s="15" t="s">
        <v>25</v>
      </c>
      <c r="L57" s="15" t="s">
        <v>26</v>
      </c>
      <c r="M57" s="21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3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4" t="s">
        <v>21</v>
      </c>
      <c r="H58" t="s">
        <v>22</v>
      </c>
      <c r="I58" s="12" t="s">
        <v>51</v>
      </c>
      <c r="J58" s="18" t="s">
        <v>52</v>
      </c>
      <c r="K58" s="15" t="s">
        <v>25</v>
      </c>
      <c r="L58" s="15" t="s">
        <v>26</v>
      </c>
      <c r="M58" s="21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4" t="s">
        <v>43</v>
      </c>
      <c r="H59" t="s">
        <v>22</v>
      </c>
      <c r="I59" s="12" t="s">
        <v>89</v>
      </c>
      <c r="J59" s="18" t="s">
        <v>120</v>
      </c>
      <c r="K59" s="15" t="s">
        <v>25</v>
      </c>
      <c r="L59" s="15" t="s">
        <v>26</v>
      </c>
      <c r="M59" s="21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3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4" t="s">
        <v>36</v>
      </c>
      <c r="H60" t="s">
        <v>22</v>
      </c>
      <c r="I60" s="12" t="s">
        <v>29</v>
      </c>
      <c r="J60" s="18" t="s">
        <v>30</v>
      </c>
      <c r="K60" s="15" t="s">
        <v>25</v>
      </c>
      <c r="L60" s="15" t="s">
        <v>26</v>
      </c>
      <c r="M60" s="21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3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4" t="s">
        <v>21</v>
      </c>
      <c r="H61" t="s">
        <v>28</v>
      </c>
      <c r="I61" s="12" t="s">
        <v>23</v>
      </c>
      <c r="J61" s="18" t="s">
        <v>24</v>
      </c>
      <c r="K61" s="15" t="s">
        <v>25</v>
      </c>
      <c r="L61" s="15" t="s">
        <v>26</v>
      </c>
      <c r="M61" s="21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3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4" t="s">
        <v>36</v>
      </c>
      <c r="H62" t="s">
        <v>28</v>
      </c>
      <c r="I62" s="12" t="s">
        <v>89</v>
      </c>
      <c r="J62" s="18" t="s">
        <v>90</v>
      </c>
      <c r="K62" s="15" t="s">
        <v>25</v>
      </c>
      <c r="L62" s="15" t="s">
        <v>26</v>
      </c>
      <c r="M62" s="21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3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4" t="s">
        <v>21</v>
      </c>
      <c r="H63" t="s">
        <v>28</v>
      </c>
      <c r="I63" s="12" t="s">
        <v>23</v>
      </c>
      <c r="J63" s="18" t="s">
        <v>47</v>
      </c>
      <c r="K63" s="15" t="s">
        <v>25</v>
      </c>
      <c r="L63" s="15" t="s">
        <v>26</v>
      </c>
      <c r="M63" s="21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4" t="s">
        <v>43</v>
      </c>
      <c r="H64" t="s">
        <v>28</v>
      </c>
      <c r="I64" s="12" t="s">
        <v>89</v>
      </c>
      <c r="J64" s="18" t="s">
        <v>126</v>
      </c>
      <c r="K64" s="15" t="s">
        <v>25</v>
      </c>
      <c r="L64" s="15" t="s">
        <v>26</v>
      </c>
      <c r="M64" s="21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4" t="s">
        <v>43</v>
      </c>
      <c r="H65" t="s">
        <v>22</v>
      </c>
      <c r="I65" s="12" t="s">
        <v>37</v>
      </c>
      <c r="J65" s="18" t="s">
        <v>76</v>
      </c>
      <c r="K65" s="15" t="s">
        <v>25</v>
      </c>
      <c r="L65" s="15" t="s">
        <v>26</v>
      </c>
      <c r="M65" s="21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3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4" t="s">
        <v>36</v>
      </c>
      <c r="H66" t="s">
        <v>28</v>
      </c>
      <c r="I66" s="12" t="s">
        <v>89</v>
      </c>
      <c r="J66" s="18" t="s">
        <v>90</v>
      </c>
      <c r="K66" s="15" t="s">
        <v>25</v>
      </c>
      <c r="L66" s="15" t="s">
        <v>26</v>
      </c>
      <c r="M66" s="21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4" t="s">
        <v>21</v>
      </c>
      <c r="H67" t="s">
        <v>22</v>
      </c>
      <c r="I67" s="12" t="s">
        <v>23</v>
      </c>
      <c r="J67" s="18" t="s">
        <v>72</v>
      </c>
      <c r="K67" s="15" t="s">
        <v>25</v>
      </c>
      <c r="L67" s="15" t="s">
        <v>26</v>
      </c>
      <c r="M67" s="21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3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4" t="s">
        <v>21</v>
      </c>
      <c r="H68" t="s">
        <v>28</v>
      </c>
      <c r="I68" s="12" t="s">
        <v>23</v>
      </c>
      <c r="J68" s="18" t="s">
        <v>72</v>
      </c>
      <c r="K68" s="15" t="s">
        <v>25</v>
      </c>
      <c r="L68" s="15" t="s">
        <v>26</v>
      </c>
      <c r="M68" s="21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2">N68*O68</f>
        <v>5008</v>
      </c>
      <c r="S68" s="2">
        <f t="shared" ref="S68:S90" si="3">N68*P68</f>
        <v>9180</v>
      </c>
    </row>
    <row r="69" spans="1:19" x14ac:dyDescent="0.3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4" t="s">
        <v>21</v>
      </c>
      <c r="H69" t="s">
        <v>22</v>
      </c>
      <c r="I69" s="12" t="s">
        <v>23</v>
      </c>
      <c r="J69" s="18" t="s">
        <v>24</v>
      </c>
      <c r="K69" s="15" t="s">
        <v>25</v>
      </c>
      <c r="L69" s="15" t="s">
        <v>26</v>
      </c>
      <c r="M69" s="21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4" t="s">
        <v>21</v>
      </c>
      <c r="H70" t="s">
        <v>22</v>
      </c>
      <c r="I70" s="12" t="s">
        <v>37</v>
      </c>
      <c r="J70" s="18" t="s">
        <v>54</v>
      </c>
      <c r="K70" s="15" t="s">
        <v>25</v>
      </c>
      <c r="L70" s="15" t="s">
        <v>26</v>
      </c>
      <c r="M70" s="21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2"/>
        <v>5008</v>
      </c>
      <c r="S70" s="2">
        <f t="shared" si="3"/>
        <v>9180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4" t="s">
        <v>43</v>
      </c>
      <c r="H71" t="s">
        <v>28</v>
      </c>
      <c r="I71" s="12" t="s">
        <v>37</v>
      </c>
      <c r="J71" s="18" t="s">
        <v>136</v>
      </c>
      <c r="K71" s="15" t="s">
        <v>25</v>
      </c>
      <c r="L71" s="15" t="s">
        <v>26</v>
      </c>
      <c r="M71" s="21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2"/>
        <v>590</v>
      </c>
      <c r="S71" s="2">
        <f t="shared" si="3"/>
        <v>1080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4" t="s">
        <v>21</v>
      </c>
      <c r="H72" t="s">
        <v>22</v>
      </c>
      <c r="I72" s="12" t="s">
        <v>51</v>
      </c>
      <c r="J72" s="18" t="s">
        <v>138</v>
      </c>
      <c r="K72" s="15" t="s">
        <v>25</v>
      </c>
      <c r="L72" s="15" t="s">
        <v>26</v>
      </c>
      <c r="M72" s="21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2"/>
        <v>2504</v>
      </c>
      <c r="S72" s="2">
        <f t="shared" si="3"/>
        <v>4590</v>
      </c>
    </row>
    <row r="73" spans="1:19" x14ac:dyDescent="0.3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4" t="s">
        <v>21</v>
      </c>
      <c r="H73" t="s">
        <v>22</v>
      </c>
      <c r="I73" s="12" t="s">
        <v>23</v>
      </c>
      <c r="J73" s="18" t="s">
        <v>47</v>
      </c>
      <c r="K73" s="15" t="s">
        <v>25</v>
      </c>
      <c r="L73" s="15" t="s">
        <v>26</v>
      </c>
      <c r="M73" s="21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2"/>
        <v>1266</v>
      </c>
      <c r="S73" s="2">
        <f t="shared" si="3"/>
        <v>2320</v>
      </c>
    </row>
    <row r="74" spans="1:19" x14ac:dyDescent="0.3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4" t="s">
        <v>36</v>
      </c>
      <c r="H74" t="s">
        <v>22</v>
      </c>
      <c r="I74" s="12" t="s">
        <v>37</v>
      </c>
      <c r="J74" s="18" t="s">
        <v>76</v>
      </c>
      <c r="K74" s="15" t="s">
        <v>25</v>
      </c>
      <c r="L74" s="15" t="s">
        <v>26</v>
      </c>
      <c r="M74" s="21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2"/>
        <v>7592</v>
      </c>
      <c r="S74" s="2">
        <f t="shared" si="3"/>
        <v>13500</v>
      </c>
    </row>
    <row r="75" spans="1:19" x14ac:dyDescent="0.3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4" t="s">
        <v>21</v>
      </c>
      <c r="H75" t="s">
        <v>28</v>
      </c>
      <c r="I75" s="12" t="s">
        <v>37</v>
      </c>
      <c r="J75" s="18" t="s">
        <v>54</v>
      </c>
      <c r="K75" s="15" t="s">
        <v>25</v>
      </c>
      <c r="L75" s="15" t="s">
        <v>26</v>
      </c>
      <c r="M75" s="21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2"/>
        <v>5008</v>
      </c>
      <c r="S75" s="2">
        <f t="shared" si="3"/>
        <v>9180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4" t="s">
        <v>36</v>
      </c>
      <c r="H76" t="s">
        <v>28</v>
      </c>
      <c r="I76" s="12" t="s">
        <v>59</v>
      </c>
      <c r="J76" s="18" t="s">
        <v>60</v>
      </c>
      <c r="K76" s="15" t="s">
        <v>25</v>
      </c>
      <c r="L76" s="15" t="s">
        <v>26</v>
      </c>
      <c r="M76" s="21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2"/>
        <v>885</v>
      </c>
      <c r="S76" s="2">
        <f t="shared" si="3"/>
        <v>1620</v>
      </c>
    </row>
    <row r="77" spans="1:19" x14ac:dyDescent="0.3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4" t="s">
        <v>21</v>
      </c>
      <c r="H77" t="s">
        <v>22</v>
      </c>
      <c r="I77" s="12" t="s">
        <v>37</v>
      </c>
      <c r="J77" s="18" t="s">
        <v>54</v>
      </c>
      <c r="K77" s="15" t="s">
        <v>25</v>
      </c>
      <c r="L77" s="15" t="s">
        <v>26</v>
      </c>
      <c r="M77" s="21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4" t="s">
        <v>21</v>
      </c>
      <c r="H78" t="s">
        <v>28</v>
      </c>
      <c r="I78" s="12" t="s">
        <v>37</v>
      </c>
      <c r="J78" s="18" t="s">
        <v>76</v>
      </c>
      <c r="K78" s="15" t="s">
        <v>25</v>
      </c>
      <c r="L78" s="15" t="s">
        <v>26</v>
      </c>
      <c r="M78" s="21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2"/>
        <v>1266</v>
      </c>
      <c r="S78" s="2">
        <f t="shared" si="3"/>
        <v>2320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4" t="s">
        <v>36</v>
      </c>
      <c r="H79" t="s">
        <v>28</v>
      </c>
      <c r="I79" s="12" t="s">
        <v>89</v>
      </c>
      <c r="J79" s="18" t="s">
        <v>147</v>
      </c>
      <c r="K79" s="15" t="s">
        <v>25</v>
      </c>
      <c r="L79" s="15" t="s">
        <v>26</v>
      </c>
      <c r="M79" s="21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3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4" t="s">
        <v>43</v>
      </c>
      <c r="H80" t="s">
        <v>28</v>
      </c>
      <c r="I80" s="12" t="s">
        <v>29</v>
      </c>
      <c r="J80" s="18" t="s">
        <v>30</v>
      </c>
      <c r="K80" s="15" t="s">
        <v>25</v>
      </c>
      <c r="L80" s="15" t="s">
        <v>26</v>
      </c>
      <c r="M80" s="21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2"/>
        <v>840</v>
      </c>
      <c r="S80" s="2">
        <f t="shared" si="3"/>
        <v>1538</v>
      </c>
    </row>
    <row r="81" spans="1:19" x14ac:dyDescent="0.3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4" t="s">
        <v>36</v>
      </c>
      <c r="H81" t="s">
        <v>22</v>
      </c>
      <c r="I81" s="12" t="s">
        <v>23</v>
      </c>
      <c r="J81" s="18" t="s">
        <v>47</v>
      </c>
      <c r="K81" s="15" t="s">
        <v>25</v>
      </c>
      <c r="L81" s="15" t="s">
        <v>26</v>
      </c>
      <c r="M81" s="21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2"/>
        <v>3798</v>
      </c>
      <c r="S81" s="2">
        <f t="shared" si="3"/>
        <v>6960</v>
      </c>
    </row>
    <row r="82" spans="1:19" x14ac:dyDescent="0.3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4" t="s">
        <v>21</v>
      </c>
      <c r="H82" t="s">
        <v>28</v>
      </c>
      <c r="I82" s="12" t="s">
        <v>23</v>
      </c>
      <c r="J82" s="18" t="s">
        <v>24</v>
      </c>
      <c r="K82" s="15" t="s">
        <v>25</v>
      </c>
      <c r="L82" s="15" t="s">
        <v>26</v>
      </c>
      <c r="M82" s="21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2"/>
        <v>3756</v>
      </c>
      <c r="S82" s="2">
        <f t="shared" si="3"/>
        <v>6885</v>
      </c>
    </row>
    <row r="83" spans="1:19" x14ac:dyDescent="0.3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4" t="s">
        <v>43</v>
      </c>
      <c r="H83" t="s">
        <v>22</v>
      </c>
      <c r="I83" s="12" t="s">
        <v>37</v>
      </c>
      <c r="J83" s="18" t="s">
        <v>38</v>
      </c>
      <c r="K83" s="15" t="s">
        <v>25</v>
      </c>
      <c r="L83" s="15" t="s">
        <v>26</v>
      </c>
      <c r="M83" s="21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2"/>
        <v>308</v>
      </c>
      <c r="S83" s="2">
        <f t="shared" si="3"/>
        <v>565</v>
      </c>
    </row>
    <row r="84" spans="1:19" x14ac:dyDescent="0.3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4" t="s">
        <v>36</v>
      </c>
      <c r="H84" t="s">
        <v>28</v>
      </c>
      <c r="I84" s="12" t="s">
        <v>89</v>
      </c>
      <c r="J84" s="18" t="s">
        <v>90</v>
      </c>
      <c r="K84" s="15" t="s">
        <v>25</v>
      </c>
      <c r="L84" s="15" t="s">
        <v>26</v>
      </c>
      <c r="M84" s="21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4" t="s">
        <v>36</v>
      </c>
      <c r="H85" t="s">
        <v>22</v>
      </c>
      <c r="I85" s="12" t="s">
        <v>59</v>
      </c>
      <c r="J85" s="18" t="s">
        <v>60</v>
      </c>
      <c r="K85" s="15" t="s">
        <v>25</v>
      </c>
      <c r="L85" s="15" t="s">
        <v>26</v>
      </c>
      <c r="M85" s="21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2"/>
        <v>1252</v>
      </c>
      <c r="S85" s="2">
        <f t="shared" si="3"/>
        <v>2295</v>
      </c>
    </row>
    <row r="86" spans="1:19" x14ac:dyDescent="0.3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4" t="s">
        <v>21</v>
      </c>
      <c r="H86" t="s">
        <v>28</v>
      </c>
      <c r="I86" s="12" t="s">
        <v>51</v>
      </c>
      <c r="J86" s="18" t="s">
        <v>138</v>
      </c>
      <c r="K86" s="15" t="s">
        <v>25</v>
      </c>
      <c r="L86" s="15" t="s">
        <v>26</v>
      </c>
      <c r="M86" s="21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4" t="s">
        <v>36</v>
      </c>
      <c r="H87" t="s">
        <v>22</v>
      </c>
      <c r="I87" s="12" t="s">
        <v>23</v>
      </c>
      <c r="J87" s="18" t="s">
        <v>72</v>
      </c>
      <c r="K87" s="15" t="s">
        <v>25</v>
      </c>
      <c r="L87" s="15" t="s">
        <v>26</v>
      </c>
      <c r="M87" s="21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2"/>
        <v>1266</v>
      </c>
      <c r="S87" s="2">
        <f t="shared" si="3"/>
        <v>2320</v>
      </c>
    </row>
    <row r="88" spans="1:19" x14ac:dyDescent="0.3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4" t="s">
        <v>36</v>
      </c>
      <c r="H88" t="s">
        <v>22</v>
      </c>
      <c r="I88" s="12" t="s">
        <v>59</v>
      </c>
      <c r="J88" s="18" t="s">
        <v>60</v>
      </c>
      <c r="K88" s="15" t="s">
        <v>25</v>
      </c>
      <c r="L88" s="15" t="s">
        <v>26</v>
      </c>
      <c r="M88" s="21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2"/>
        <v>1252</v>
      </c>
      <c r="S88" s="2">
        <f t="shared" si="3"/>
        <v>2295</v>
      </c>
    </row>
    <row r="89" spans="1:19" x14ac:dyDescent="0.3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4" t="s">
        <v>21</v>
      </c>
      <c r="H89" t="s">
        <v>22</v>
      </c>
      <c r="I89" s="12" t="s">
        <v>23</v>
      </c>
      <c r="J89" s="18" t="s">
        <v>24</v>
      </c>
      <c r="K89" s="15" t="s">
        <v>25</v>
      </c>
      <c r="L89" s="15" t="s">
        <v>26</v>
      </c>
      <c r="M89" s="21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2"/>
        <v>295</v>
      </c>
      <c r="S89" s="2">
        <f t="shared" si="3"/>
        <v>540</v>
      </c>
    </row>
    <row r="90" spans="1:19" x14ac:dyDescent="0.3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4" t="s">
        <v>21</v>
      </c>
      <c r="H90" t="s">
        <v>28</v>
      </c>
      <c r="I90" s="12" t="s">
        <v>37</v>
      </c>
      <c r="J90" s="18" t="s">
        <v>54</v>
      </c>
      <c r="K90" s="15" t="s">
        <v>25</v>
      </c>
      <c r="L90" s="15" t="s">
        <v>26</v>
      </c>
      <c r="M90" s="21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2"/>
        <v>5008</v>
      </c>
      <c r="S90" s="2">
        <f t="shared" si="3"/>
        <v>9180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9"/>
  <sheetViews>
    <sheetView tabSelected="1" zoomScale="85" zoomScaleNormal="85" workbookViewId="0">
      <selection activeCell="M9" sqref="M9"/>
    </sheetView>
  </sheetViews>
  <sheetFormatPr defaultRowHeight="14.4" x14ac:dyDescent="0.3"/>
  <cols>
    <col min="1" max="1" width="14.5546875" customWidth="1"/>
    <col min="2" max="2" width="14.77734375" bestFit="1" customWidth="1"/>
    <col min="3" max="3" width="13.44140625" bestFit="1" customWidth="1"/>
    <col min="4" max="4" width="11.44140625" bestFit="1" customWidth="1"/>
    <col min="5" max="5" width="17.109375" customWidth="1"/>
    <col min="6" max="6" width="12.5546875" customWidth="1"/>
    <col min="7" max="7" width="13.21875" customWidth="1"/>
    <col min="8" max="9" width="9.88671875" bestFit="1" customWidth="1"/>
    <col min="10" max="10" width="10.88671875" bestFit="1" customWidth="1"/>
    <col min="12" max="12" width="10.6640625" customWidth="1"/>
  </cols>
  <sheetData>
    <row r="1" spans="1:18" s="10" customFormat="1" ht="97.5" customHeight="1" x14ac:dyDescent="0.3">
      <c r="A1" s="10" t="s">
        <v>1</v>
      </c>
      <c r="B1" s="31" t="s">
        <v>174</v>
      </c>
      <c r="C1" s="31" t="s">
        <v>263</v>
      </c>
      <c r="D1" s="31" t="s">
        <v>352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</row>
    <row r="2" spans="1:18" x14ac:dyDescent="0.3">
      <c r="A2" s="1">
        <v>44531</v>
      </c>
      <c r="B2" t="s">
        <v>175</v>
      </c>
      <c r="C2" t="s">
        <v>264</v>
      </c>
      <c r="D2" t="s">
        <v>353</v>
      </c>
      <c r="E2">
        <v>4</v>
      </c>
      <c r="F2" s="2">
        <v>1252</v>
      </c>
      <c r="G2" s="2">
        <v>2295</v>
      </c>
      <c r="H2" s="2">
        <v>4172</v>
      </c>
      <c r="I2" s="2">
        <f>E2*F2</f>
        <v>5008</v>
      </c>
      <c r="J2" s="2">
        <f>E2*G2</f>
        <v>9180</v>
      </c>
    </row>
    <row r="3" spans="1:18" x14ac:dyDescent="0.3">
      <c r="A3" s="1">
        <v>44531</v>
      </c>
      <c r="B3" t="s">
        <v>176</v>
      </c>
      <c r="C3" t="s">
        <v>265</v>
      </c>
      <c r="D3" t="s">
        <v>354</v>
      </c>
      <c r="E3">
        <v>1</v>
      </c>
      <c r="F3" s="2">
        <v>1266</v>
      </c>
      <c r="G3" s="2">
        <v>2320</v>
      </c>
      <c r="H3" s="2">
        <v>1054</v>
      </c>
      <c r="I3" s="2">
        <f t="shared" ref="I3:I66" si="0">E3*F3</f>
        <v>1266</v>
      </c>
      <c r="J3" s="2">
        <f t="shared" ref="J3:J66" si="1">E3*G3</f>
        <v>2320</v>
      </c>
    </row>
    <row r="4" spans="1:18" x14ac:dyDescent="0.3">
      <c r="A4" s="1">
        <v>44532</v>
      </c>
      <c r="B4" t="s">
        <v>177</v>
      </c>
      <c r="C4" t="s">
        <v>266</v>
      </c>
      <c r="D4" t="s">
        <v>355</v>
      </c>
      <c r="E4">
        <v>2</v>
      </c>
      <c r="F4" s="2">
        <v>420</v>
      </c>
      <c r="G4" s="2">
        <v>769</v>
      </c>
      <c r="H4" s="2">
        <v>698</v>
      </c>
      <c r="I4" s="2">
        <f t="shared" si="0"/>
        <v>840</v>
      </c>
      <c r="J4" s="2">
        <f t="shared" si="1"/>
        <v>1538</v>
      </c>
    </row>
    <row r="5" spans="1:18" x14ac:dyDescent="0.3">
      <c r="A5" s="1">
        <v>44532</v>
      </c>
      <c r="B5" t="s">
        <v>178</v>
      </c>
      <c r="C5" t="s">
        <v>267</v>
      </c>
      <c r="D5" t="s">
        <v>356</v>
      </c>
      <c r="E5">
        <v>1</v>
      </c>
      <c r="F5" s="2">
        <v>420</v>
      </c>
      <c r="G5" s="2">
        <v>769</v>
      </c>
      <c r="H5" s="2">
        <v>349</v>
      </c>
      <c r="I5" s="2">
        <f t="shared" si="0"/>
        <v>420</v>
      </c>
      <c r="J5" s="2">
        <f t="shared" si="1"/>
        <v>769</v>
      </c>
    </row>
    <row r="6" spans="1:18" x14ac:dyDescent="0.3">
      <c r="A6" s="1">
        <v>44533</v>
      </c>
      <c r="B6" t="s">
        <v>179</v>
      </c>
      <c r="C6" t="s">
        <v>268</v>
      </c>
      <c r="D6" t="s">
        <v>357</v>
      </c>
      <c r="E6">
        <v>2</v>
      </c>
      <c r="F6" s="2">
        <v>1252</v>
      </c>
      <c r="G6" s="2">
        <v>2295</v>
      </c>
      <c r="H6" s="2">
        <v>2086</v>
      </c>
      <c r="I6" s="2">
        <f t="shared" si="0"/>
        <v>2504</v>
      </c>
      <c r="J6" s="2">
        <f t="shared" si="1"/>
        <v>4590</v>
      </c>
    </row>
    <row r="7" spans="1:18" x14ac:dyDescent="0.3">
      <c r="A7" s="1">
        <v>44533</v>
      </c>
      <c r="B7" t="s">
        <v>180</v>
      </c>
      <c r="C7" t="s">
        <v>269</v>
      </c>
      <c r="D7" t="s">
        <v>358</v>
      </c>
      <c r="E7">
        <v>1</v>
      </c>
      <c r="F7" s="2">
        <v>1252</v>
      </c>
      <c r="G7" s="2">
        <v>2295</v>
      </c>
      <c r="H7" s="2">
        <v>1043</v>
      </c>
      <c r="I7" s="2">
        <f t="shared" si="0"/>
        <v>1252</v>
      </c>
      <c r="J7" s="2">
        <f t="shared" si="1"/>
        <v>2295</v>
      </c>
      <c r="R7" s="30"/>
    </row>
    <row r="8" spans="1:18" s="5" customFormat="1" x14ac:dyDescent="0.3">
      <c r="A8" s="8">
        <v>44533</v>
      </c>
      <c r="B8" t="s">
        <v>181</v>
      </c>
      <c r="C8" t="s">
        <v>270</v>
      </c>
      <c r="D8" t="s">
        <v>359</v>
      </c>
      <c r="E8" s="5">
        <v>1</v>
      </c>
      <c r="F8" s="6">
        <v>1252</v>
      </c>
      <c r="G8" s="6">
        <v>2295</v>
      </c>
      <c r="H8" s="6">
        <v>1043</v>
      </c>
      <c r="I8" s="6">
        <f t="shared" ref="I8" si="2">E8*F8</f>
        <v>1252</v>
      </c>
      <c r="J8" s="6">
        <f t="shared" ref="J8" si="3">E8*G8</f>
        <v>2295</v>
      </c>
    </row>
    <row r="9" spans="1:18" x14ac:dyDescent="0.3">
      <c r="A9" s="1">
        <v>44534</v>
      </c>
      <c r="B9" t="s">
        <v>182</v>
      </c>
      <c r="C9" t="s">
        <v>271</v>
      </c>
      <c r="D9" t="s">
        <v>360</v>
      </c>
      <c r="E9">
        <v>4</v>
      </c>
      <c r="F9" s="2">
        <v>420</v>
      </c>
      <c r="G9" s="2">
        <v>769</v>
      </c>
      <c r="H9" s="2">
        <v>1396</v>
      </c>
      <c r="I9" s="2">
        <f t="shared" si="0"/>
        <v>1680</v>
      </c>
      <c r="J9" s="2">
        <f t="shared" si="1"/>
        <v>3076</v>
      </c>
    </row>
    <row r="10" spans="1:18" x14ac:dyDescent="0.3">
      <c r="A10" s="1">
        <v>44535</v>
      </c>
      <c r="B10" t="s">
        <v>183</v>
      </c>
      <c r="C10" t="s">
        <v>272</v>
      </c>
      <c r="D10" t="s">
        <v>361</v>
      </c>
      <c r="E10">
        <v>4</v>
      </c>
      <c r="F10" s="2">
        <v>1252</v>
      </c>
      <c r="G10" s="2">
        <v>2295</v>
      </c>
      <c r="H10" s="2">
        <v>4172</v>
      </c>
      <c r="I10" s="2">
        <f t="shared" si="0"/>
        <v>5008</v>
      </c>
      <c r="J10" s="2">
        <f t="shared" si="1"/>
        <v>9180</v>
      </c>
    </row>
    <row r="11" spans="1:18" x14ac:dyDescent="0.3">
      <c r="A11" s="1">
        <v>44535</v>
      </c>
      <c r="B11" t="s">
        <v>184</v>
      </c>
      <c r="C11" t="s">
        <v>273</v>
      </c>
      <c r="D11" t="s">
        <v>362</v>
      </c>
      <c r="E11">
        <v>4</v>
      </c>
      <c r="F11" s="2">
        <v>1252</v>
      </c>
      <c r="G11" s="2">
        <v>2295</v>
      </c>
      <c r="H11" s="2">
        <v>4172</v>
      </c>
      <c r="I11" s="2">
        <f t="shared" si="0"/>
        <v>5008</v>
      </c>
      <c r="J11" s="2">
        <f t="shared" si="1"/>
        <v>9180</v>
      </c>
    </row>
    <row r="12" spans="1:18" x14ac:dyDescent="0.3">
      <c r="A12" s="1">
        <v>44535</v>
      </c>
      <c r="B12" t="s">
        <v>185</v>
      </c>
      <c r="C12" t="s">
        <v>274</v>
      </c>
      <c r="D12" t="s">
        <v>363</v>
      </c>
      <c r="E12">
        <v>1</v>
      </c>
      <c r="F12" s="2">
        <v>1266</v>
      </c>
      <c r="G12" s="2">
        <v>2320</v>
      </c>
      <c r="H12" s="2">
        <v>1054</v>
      </c>
      <c r="I12" s="2">
        <f t="shared" si="0"/>
        <v>1266</v>
      </c>
      <c r="J12" s="2">
        <f t="shared" si="1"/>
        <v>2320</v>
      </c>
    </row>
    <row r="13" spans="1:18" x14ac:dyDescent="0.3">
      <c r="A13" s="1">
        <v>44535</v>
      </c>
      <c r="B13" t="s">
        <v>186</v>
      </c>
      <c r="C13" t="s">
        <v>275</v>
      </c>
      <c r="D13" t="s">
        <v>364</v>
      </c>
      <c r="E13">
        <v>1</v>
      </c>
      <c r="F13" s="2">
        <v>1252</v>
      </c>
      <c r="G13" s="2">
        <v>2295</v>
      </c>
      <c r="H13" s="2">
        <v>1043</v>
      </c>
      <c r="I13" s="2">
        <f t="shared" si="0"/>
        <v>1252</v>
      </c>
      <c r="J13" s="2">
        <f t="shared" si="1"/>
        <v>2295</v>
      </c>
    </row>
    <row r="14" spans="1:18" x14ac:dyDescent="0.3">
      <c r="A14" s="1">
        <v>44536</v>
      </c>
      <c r="B14" t="s">
        <v>187</v>
      </c>
      <c r="C14" t="s">
        <v>276</v>
      </c>
      <c r="D14" t="s">
        <v>365</v>
      </c>
      <c r="E14">
        <v>3</v>
      </c>
      <c r="F14" s="2">
        <v>420</v>
      </c>
      <c r="G14" s="2">
        <v>769</v>
      </c>
      <c r="H14" s="2">
        <v>1047</v>
      </c>
      <c r="I14" s="2">
        <f t="shared" si="0"/>
        <v>1260</v>
      </c>
      <c r="J14" s="2">
        <f t="shared" si="1"/>
        <v>2307</v>
      </c>
    </row>
    <row r="15" spans="1:18" x14ac:dyDescent="0.3">
      <c r="A15" s="1">
        <v>44536</v>
      </c>
      <c r="B15" t="s">
        <v>188</v>
      </c>
      <c r="C15" t="s">
        <v>277</v>
      </c>
      <c r="D15" t="s">
        <v>366</v>
      </c>
      <c r="E15">
        <v>1</v>
      </c>
      <c r="F15" s="2">
        <v>1252</v>
      </c>
      <c r="G15" s="2">
        <v>2295</v>
      </c>
      <c r="H15" s="2">
        <v>1043</v>
      </c>
      <c r="I15" s="2">
        <f t="shared" si="0"/>
        <v>1252</v>
      </c>
      <c r="J15" s="2">
        <f t="shared" si="1"/>
        <v>2295</v>
      </c>
    </row>
    <row r="16" spans="1:18" x14ac:dyDescent="0.3">
      <c r="A16" s="1">
        <v>44536</v>
      </c>
      <c r="B16" t="s">
        <v>189</v>
      </c>
      <c r="C16" t="s">
        <v>278</v>
      </c>
      <c r="D16" t="s">
        <v>367</v>
      </c>
      <c r="E16">
        <v>1</v>
      </c>
      <c r="F16" s="2">
        <v>1252</v>
      </c>
      <c r="G16" s="2">
        <v>2295</v>
      </c>
      <c r="H16" s="2">
        <v>1043</v>
      </c>
      <c r="I16" s="2">
        <f t="shared" si="0"/>
        <v>1252</v>
      </c>
      <c r="J16" s="2">
        <f t="shared" si="1"/>
        <v>2295</v>
      </c>
    </row>
    <row r="17" spans="1:10" x14ac:dyDescent="0.3">
      <c r="A17" s="1">
        <v>44536</v>
      </c>
      <c r="B17" t="s">
        <v>190</v>
      </c>
      <c r="C17" t="s">
        <v>279</v>
      </c>
      <c r="D17" t="s">
        <v>368</v>
      </c>
      <c r="E17">
        <v>1</v>
      </c>
      <c r="F17" s="2">
        <v>1266</v>
      </c>
      <c r="G17" s="2">
        <v>2320</v>
      </c>
      <c r="H17" s="2">
        <v>1054</v>
      </c>
      <c r="I17" s="2">
        <f t="shared" si="0"/>
        <v>1266</v>
      </c>
      <c r="J17" s="2">
        <f t="shared" si="1"/>
        <v>2320</v>
      </c>
    </row>
    <row r="18" spans="1:10" x14ac:dyDescent="0.3">
      <c r="A18" s="1">
        <v>44537</v>
      </c>
      <c r="B18" t="s">
        <v>191</v>
      </c>
      <c r="C18" t="s">
        <v>280</v>
      </c>
      <c r="D18" t="s">
        <v>369</v>
      </c>
      <c r="E18">
        <v>4</v>
      </c>
      <c r="F18" s="2">
        <v>420</v>
      </c>
      <c r="G18" s="2">
        <v>769</v>
      </c>
      <c r="H18" s="2">
        <v>1396</v>
      </c>
      <c r="I18" s="2">
        <f t="shared" si="0"/>
        <v>1680</v>
      </c>
      <c r="J18" s="2">
        <f t="shared" si="1"/>
        <v>3076</v>
      </c>
    </row>
    <row r="19" spans="1:10" x14ac:dyDescent="0.3">
      <c r="A19" s="1">
        <v>44537</v>
      </c>
      <c r="B19" t="s">
        <v>192</v>
      </c>
      <c r="C19" t="s">
        <v>281</v>
      </c>
      <c r="D19" t="s">
        <v>370</v>
      </c>
      <c r="E19">
        <v>2</v>
      </c>
      <c r="F19" s="2">
        <v>1266</v>
      </c>
      <c r="G19" s="2">
        <v>2320</v>
      </c>
      <c r="H19" s="2">
        <v>2108</v>
      </c>
      <c r="I19" s="2">
        <f t="shared" si="0"/>
        <v>2532</v>
      </c>
      <c r="J19" s="2">
        <f t="shared" si="1"/>
        <v>4640</v>
      </c>
    </row>
    <row r="20" spans="1:10" x14ac:dyDescent="0.3">
      <c r="A20" s="1">
        <v>44538</v>
      </c>
      <c r="B20" t="s">
        <v>193</v>
      </c>
      <c r="C20" t="s">
        <v>282</v>
      </c>
      <c r="D20" t="s">
        <v>371</v>
      </c>
      <c r="E20">
        <v>4</v>
      </c>
      <c r="F20" s="2">
        <v>308</v>
      </c>
      <c r="G20" s="2">
        <v>565</v>
      </c>
      <c r="H20" s="2">
        <v>1028</v>
      </c>
      <c r="I20" s="2">
        <f t="shared" si="0"/>
        <v>1232</v>
      </c>
      <c r="J20" s="2">
        <f t="shared" si="1"/>
        <v>2260</v>
      </c>
    </row>
    <row r="21" spans="1:10" x14ac:dyDescent="0.3">
      <c r="A21" s="1">
        <v>44538</v>
      </c>
      <c r="B21" t="s">
        <v>194</v>
      </c>
      <c r="C21" t="s">
        <v>283</v>
      </c>
      <c r="D21" t="s">
        <v>372</v>
      </c>
      <c r="E21">
        <v>4</v>
      </c>
      <c r="F21" s="2">
        <v>1266</v>
      </c>
      <c r="G21" s="2">
        <v>2320</v>
      </c>
      <c r="H21" s="2">
        <v>4216</v>
      </c>
      <c r="I21" s="2">
        <f t="shared" si="0"/>
        <v>5064</v>
      </c>
      <c r="J21" s="2">
        <f t="shared" si="1"/>
        <v>9280</v>
      </c>
    </row>
    <row r="22" spans="1:10" x14ac:dyDescent="0.3">
      <c r="A22" s="1">
        <v>44538</v>
      </c>
      <c r="B22" t="s">
        <v>195</v>
      </c>
      <c r="C22" t="s">
        <v>284</v>
      </c>
      <c r="D22" t="s">
        <v>373</v>
      </c>
      <c r="E22">
        <v>2</v>
      </c>
      <c r="F22" s="2">
        <v>1252</v>
      </c>
      <c r="G22" s="2">
        <v>2295</v>
      </c>
      <c r="H22" s="2">
        <v>2086</v>
      </c>
      <c r="I22" s="2">
        <f t="shared" si="0"/>
        <v>2504</v>
      </c>
      <c r="J22" s="2">
        <f t="shared" si="1"/>
        <v>4590</v>
      </c>
    </row>
    <row r="23" spans="1:10" x14ac:dyDescent="0.3">
      <c r="A23" s="1">
        <v>44538</v>
      </c>
      <c r="B23" t="s">
        <v>196</v>
      </c>
      <c r="C23" t="s">
        <v>285</v>
      </c>
      <c r="D23" t="s">
        <v>374</v>
      </c>
      <c r="E23">
        <v>4</v>
      </c>
      <c r="F23" s="2">
        <v>295</v>
      </c>
      <c r="G23" s="2">
        <v>540</v>
      </c>
      <c r="H23" s="2">
        <v>245</v>
      </c>
      <c r="I23" s="2">
        <f t="shared" si="0"/>
        <v>1180</v>
      </c>
      <c r="J23" s="2">
        <f t="shared" si="1"/>
        <v>2160</v>
      </c>
    </row>
    <row r="24" spans="1:10" x14ac:dyDescent="0.3">
      <c r="A24" s="1">
        <v>44539</v>
      </c>
      <c r="B24" t="s">
        <v>197</v>
      </c>
      <c r="C24" t="s">
        <v>286</v>
      </c>
      <c r="D24" t="s">
        <v>375</v>
      </c>
      <c r="E24">
        <v>2</v>
      </c>
      <c r="F24" s="2">
        <v>1898</v>
      </c>
      <c r="G24" s="2">
        <v>3375</v>
      </c>
      <c r="H24" s="2">
        <v>2954</v>
      </c>
      <c r="I24" s="2">
        <f t="shared" si="0"/>
        <v>3796</v>
      </c>
      <c r="J24" s="2">
        <f t="shared" si="1"/>
        <v>6750</v>
      </c>
    </row>
    <row r="25" spans="1:10" x14ac:dyDescent="0.3">
      <c r="A25" s="1">
        <v>44539</v>
      </c>
      <c r="B25" t="s">
        <v>198</v>
      </c>
      <c r="C25" t="s">
        <v>287</v>
      </c>
      <c r="D25" t="s">
        <v>376</v>
      </c>
      <c r="E25">
        <v>1</v>
      </c>
      <c r="F25" s="2">
        <v>1266</v>
      </c>
      <c r="G25" s="2">
        <v>2320</v>
      </c>
      <c r="H25" s="2">
        <v>1054</v>
      </c>
      <c r="I25" s="2">
        <f t="shared" si="0"/>
        <v>1266</v>
      </c>
      <c r="J25" s="2">
        <f t="shared" si="1"/>
        <v>2320</v>
      </c>
    </row>
    <row r="26" spans="1:10" x14ac:dyDescent="0.3">
      <c r="A26" s="1">
        <v>44540</v>
      </c>
      <c r="B26" t="s">
        <v>199</v>
      </c>
      <c r="C26" t="s">
        <v>288</v>
      </c>
      <c r="D26" t="s">
        <v>377</v>
      </c>
      <c r="E26">
        <v>2</v>
      </c>
      <c r="F26" s="2">
        <v>1252</v>
      </c>
      <c r="G26" s="2">
        <v>2295</v>
      </c>
      <c r="H26" s="2">
        <v>2086</v>
      </c>
      <c r="I26" s="2">
        <f t="shared" si="0"/>
        <v>2504</v>
      </c>
      <c r="J26" s="2">
        <f t="shared" si="1"/>
        <v>4590</v>
      </c>
    </row>
    <row r="27" spans="1:10" x14ac:dyDescent="0.3">
      <c r="A27" s="1">
        <v>44540</v>
      </c>
      <c r="B27" t="s">
        <v>200</v>
      </c>
      <c r="C27" t="s">
        <v>289</v>
      </c>
      <c r="D27" t="s">
        <v>378</v>
      </c>
      <c r="E27">
        <v>2</v>
      </c>
      <c r="F27" s="2">
        <v>1252</v>
      </c>
      <c r="G27" s="2">
        <v>2295</v>
      </c>
      <c r="H27" s="2">
        <v>2086</v>
      </c>
      <c r="I27" s="2">
        <f t="shared" si="0"/>
        <v>2504</v>
      </c>
      <c r="J27" s="2">
        <f t="shared" si="1"/>
        <v>4590</v>
      </c>
    </row>
    <row r="28" spans="1:10" x14ac:dyDescent="0.3">
      <c r="A28" s="1">
        <v>44540</v>
      </c>
      <c r="B28" t="s">
        <v>201</v>
      </c>
      <c r="C28" t="s">
        <v>290</v>
      </c>
      <c r="D28" t="s">
        <v>379</v>
      </c>
      <c r="E28">
        <v>1</v>
      </c>
      <c r="F28" s="2">
        <v>1252</v>
      </c>
      <c r="G28" s="2">
        <v>2295</v>
      </c>
      <c r="H28" s="2">
        <v>1043</v>
      </c>
      <c r="I28" s="2">
        <f t="shared" si="0"/>
        <v>1252</v>
      </c>
      <c r="J28" s="2">
        <f t="shared" si="1"/>
        <v>2295</v>
      </c>
    </row>
    <row r="29" spans="1:10" x14ac:dyDescent="0.3">
      <c r="A29" s="1">
        <v>44540</v>
      </c>
      <c r="B29" t="s">
        <v>202</v>
      </c>
      <c r="C29" t="s">
        <v>291</v>
      </c>
      <c r="D29" t="s">
        <v>380</v>
      </c>
      <c r="E29">
        <v>1</v>
      </c>
      <c r="F29" s="2">
        <v>295</v>
      </c>
      <c r="G29" s="2">
        <v>540</v>
      </c>
      <c r="H29" s="2">
        <v>245</v>
      </c>
      <c r="I29" s="2">
        <f t="shared" si="0"/>
        <v>295</v>
      </c>
      <c r="J29" s="2">
        <f t="shared" si="1"/>
        <v>540</v>
      </c>
    </row>
    <row r="30" spans="1:10" x14ac:dyDescent="0.3">
      <c r="A30" s="1">
        <v>44540</v>
      </c>
      <c r="B30" t="s">
        <v>203</v>
      </c>
      <c r="C30" t="s">
        <v>292</v>
      </c>
      <c r="D30" t="s">
        <v>381</v>
      </c>
      <c r="E30">
        <v>1</v>
      </c>
      <c r="F30" s="2">
        <v>1912</v>
      </c>
      <c r="G30" s="2">
        <v>3400</v>
      </c>
      <c r="H30" s="2">
        <v>1488</v>
      </c>
      <c r="I30" s="2">
        <f t="shared" si="0"/>
        <v>1912</v>
      </c>
      <c r="J30" s="2">
        <f t="shared" si="1"/>
        <v>3400</v>
      </c>
    </row>
    <row r="31" spans="1:10" x14ac:dyDescent="0.3">
      <c r="A31" s="1">
        <v>44540</v>
      </c>
      <c r="B31" t="s">
        <v>204</v>
      </c>
      <c r="C31" t="s">
        <v>293</v>
      </c>
      <c r="D31" t="s">
        <v>382</v>
      </c>
      <c r="E31">
        <v>1</v>
      </c>
      <c r="F31" s="2">
        <v>1252</v>
      </c>
      <c r="G31" s="2">
        <v>2295</v>
      </c>
      <c r="H31" s="2">
        <v>1043</v>
      </c>
      <c r="I31" s="2">
        <f t="shared" si="0"/>
        <v>1252</v>
      </c>
      <c r="J31" s="2">
        <f t="shared" si="1"/>
        <v>2295</v>
      </c>
    </row>
    <row r="32" spans="1:10" x14ac:dyDescent="0.3">
      <c r="A32" s="1">
        <v>44541</v>
      </c>
      <c r="B32" t="s">
        <v>205</v>
      </c>
      <c r="C32" t="s">
        <v>294</v>
      </c>
      <c r="D32" t="s">
        <v>383</v>
      </c>
      <c r="E32">
        <v>3</v>
      </c>
      <c r="F32" s="2">
        <v>1252</v>
      </c>
      <c r="G32" s="2">
        <v>2295</v>
      </c>
      <c r="H32" s="2">
        <v>3129</v>
      </c>
      <c r="I32" s="2">
        <f t="shared" si="0"/>
        <v>3756</v>
      </c>
      <c r="J32" s="2">
        <f t="shared" si="1"/>
        <v>6885</v>
      </c>
    </row>
    <row r="33" spans="1:10" x14ac:dyDescent="0.3">
      <c r="A33" s="1">
        <v>44541</v>
      </c>
      <c r="B33" t="s">
        <v>206</v>
      </c>
      <c r="C33" t="s">
        <v>295</v>
      </c>
      <c r="D33" t="s">
        <v>384</v>
      </c>
      <c r="E33">
        <v>2</v>
      </c>
      <c r="F33" s="2">
        <v>420</v>
      </c>
      <c r="G33" s="2">
        <v>769</v>
      </c>
      <c r="H33" s="2">
        <v>698</v>
      </c>
      <c r="I33" s="2">
        <f t="shared" si="0"/>
        <v>840</v>
      </c>
      <c r="J33" s="2">
        <f t="shared" si="1"/>
        <v>1538</v>
      </c>
    </row>
    <row r="34" spans="1:10" x14ac:dyDescent="0.3">
      <c r="A34" s="1">
        <v>44541</v>
      </c>
      <c r="B34" t="s">
        <v>207</v>
      </c>
      <c r="C34" t="s">
        <v>296</v>
      </c>
      <c r="D34" t="s">
        <v>385</v>
      </c>
      <c r="E34">
        <v>1</v>
      </c>
      <c r="F34" s="2">
        <v>1252</v>
      </c>
      <c r="G34" s="2">
        <v>2295</v>
      </c>
      <c r="H34" s="2">
        <v>1043</v>
      </c>
      <c r="I34" s="2">
        <f t="shared" si="0"/>
        <v>1252</v>
      </c>
      <c r="J34" s="2">
        <f t="shared" si="1"/>
        <v>2295</v>
      </c>
    </row>
    <row r="35" spans="1:10" x14ac:dyDescent="0.3">
      <c r="A35" s="1">
        <v>44541</v>
      </c>
      <c r="B35" t="s">
        <v>208</v>
      </c>
      <c r="C35" t="s">
        <v>297</v>
      </c>
      <c r="D35" t="s">
        <v>386</v>
      </c>
      <c r="E35">
        <v>1</v>
      </c>
      <c r="F35" s="2">
        <v>420</v>
      </c>
      <c r="G35" s="2">
        <v>769</v>
      </c>
      <c r="H35" s="2">
        <v>349</v>
      </c>
      <c r="I35" s="2">
        <f t="shared" si="0"/>
        <v>420</v>
      </c>
      <c r="J35" s="2">
        <f t="shared" si="1"/>
        <v>769</v>
      </c>
    </row>
    <row r="36" spans="1:10" x14ac:dyDescent="0.3">
      <c r="A36" s="1">
        <v>44541</v>
      </c>
      <c r="B36" t="s">
        <v>209</v>
      </c>
      <c r="C36" t="s">
        <v>298</v>
      </c>
      <c r="D36" t="s">
        <v>387</v>
      </c>
      <c r="E36">
        <v>1</v>
      </c>
      <c r="F36" s="2">
        <v>1266</v>
      </c>
      <c r="G36" s="2">
        <v>2320</v>
      </c>
      <c r="H36" s="2">
        <v>1054</v>
      </c>
      <c r="I36" s="2">
        <f t="shared" si="0"/>
        <v>1266</v>
      </c>
      <c r="J36" s="2">
        <f t="shared" si="1"/>
        <v>2320</v>
      </c>
    </row>
    <row r="37" spans="1:10" x14ac:dyDescent="0.3">
      <c r="A37" s="1">
        <v>44542</v>
      </c>
      <c r="B37" t="s">
        <v>210</v>
      </c>
      <c r="C37" t="s">
        <v>299</v>
      </c>
      <c r="D37" t="s">
        <v>388</v>
      </c>
      <c r="E37">
        <v>4</v>
      </c>
      <c r="F37" s="2">
        <v>1266</v>
      </c>
      <c r="G37" s="2">
        <v>2320</v>
      </c>
      <c r="H37" s="2">
        <v>4216</v>
      </c>
      <c r="I37" s="2">
        <f t="shared" si="0"/>
        <v>5064</v>
      </c>
      <c r="J37" s="2">
        <f t="shared" si="1"/>
        <v>9280</v>
      </c>
    </row>
    <row r="38" spans="1:10" x14ac:dyDescent="0.3">
      <c r="A38" s="1">
        <v>44542</v>
      </c>
      <c r="B38" t="s">
        <v>211</v>
      </c>
      <c r="C38" t="s">
        <v>300</v>
      </c>
      <c r="D38" t="s">
        <v>389</v>
      </c>
      <c r="E38">
        <v>4</v>
      </c>
      <c r="F38" s="2">
        <v>420</v>
      </c>
      <c r="G38" s="2">
        <v>769</v>
      </c>
      <c r="H38" s="2">
        <v>1396</v>
      </c>
      <c r="I38" s="2">
        <f t="shared" si="0"/>
        <v>1680</v>
      </c>
      <c r="J38" s="2">
        <f t="shared" si="1"/>
        <v>3076</v>
      </c>
    </row>
    <row r="39" spans="1:10" x14ac:dyDescent="0.3">
      <c r="A39" s="1">
        <v>44542</v>
      </c>
      <c r="B39" t="s">
        <v>212</v>
      </c>
      <c r="C39" t="s">
        <v>301</v>
      </c>
      <c r="D39" t="s">
        <v>390</v>
      </c>
      <c r="E39">
        <v>2</v>
      </c>
      <c r="F39" s="2">
        <v>1252</v>
      </c>
      <c r="G39" s="2">
        <v>2295</v>
      </c>
      <c r="H39" s="2">
        <v>2086</v>
      </c>
      <c r="I39" s="2">
        <f t="shared" si="0"/>
        <v>2504</v>
      </c>
      <c r="J39" s="2">
        <f t="shared" si="1"/>
        <v>4590</v>
      </c>
    </row>
    <row r="40" spans="1:10" x14ac:dyDescent="0.3">
      <c r="A40" s="1">
        <v>44542</v>
      </c>
      <c r="B40" t="s">
        <v>213</v>
      </c>
      <c r="C40" t="s">
        <v>302</v>
      </c>
      <c r="D40" t="s">
        <v>391</v>
      </c>
      <c r="E40">
        <v>1</v>
      </c>
      <c r="F40" s="2">
        <v>1266</v>
      </c>
      <c r="G40" s="2">
        <v>2320</v>
      </c>
      <c r="H40" s="2">
        <v>1054</v>
      </c>
      <c r="I40" s="2">
        <f t="shared" si="0"/>
        <v>1266</v>
      </c>
      <c r="J40" s="2">
        <f t="shared" si="1"/>
        <v>2320</v>
      </c>
    </row>
    <row r="41" spans="1:10" x14ac:dyDescent="0.3">
      <c r="A41" s="1">
        <v>44542</v>
      </c>
      <c r="B41" t="s">
        <v>214</v>
      </c>
      <c r="C41" t="s">
        <v>303</v>
      </c>
      <c r="D41" t="s">
        <v>392</v>
      </c>
      <c r="E41">
        <v>1</v>
      </c>
      <c r="F41" s="2">
        <v>1266</v>
      </c>
      <c r="G41" s="2">
        <v>2320</v>
      </c>
      <c r="H41" s="2">
        <v>1054</v>
      </c>
      <c r="I41" s="2">
        <f t="shared" si="0"/>
        <v>1266</v>
      </c>
      <c r="J41" s="2">
        <f t="shared" si="1"/>
        <v>2320</v>
      </c>
    </row>
    <row r="42" spans="1:10" x14ac:dyDescent="0.3">
      <c r="A42" s="1">
        <v>44543</v>
      </c>
      <c r="B42" t="s">
        <v>215</v>
      </c>
      <c r="C42" t="s">
        <v>304</v>
      </c>
      <c r="D42" t="s">
        <v>393</v>
      </c>
      <c r="E42">
        <v>3</v>
      </c>
      <c r="F42" s="2">
        <v>1266</v>
      </c>
      <c r="G42" s="2">
        <v>2320</v>
      </c>
      <c r="H42" s="2">
        <v>3162</v>
      </c>
      <c r="I42" s="2">
        <f t="shared" si="0"/>
        <v>3798</v>
      </c>
      <c r="J42" s="2">
        <f t="shared" si="1"/>
        <v>6960</v>
      </c>
    </row>
    <row r="43" spans="1:10" x14ac:dyDescent="0.3">
      <c r="A43" s="1">
        <v>44543</v>
      </c>
      <c r="B43" t="s">
        <v>216</v>
      </c>
      <c r="C43" t="s">
        <v>305</v>
      </c>
      <c r="D43" t="s">
        <v>394</v>
      </c>
      <c r="E43">
        <v>1</v>
      </c>
      <c r="F43" s="2">
        <v>308</v>
      </c>
      <c r="G43" s="2">
        <v>565</v>
      </c>
      <c r="H43" s="2">
        <v>257</v>
      </c>
      <c r="I43" s="2">
        <f t="shared" si="0"/>
        <v>308</v>
      </c>
      <c r="J43" s="2">
        <f t="shared" si="1"/>
        <v>565</v>
      </c>
    </row>
    <row r="44" spans="1:10" x14ac:dyDescent="0.3">
      <c r="A44" s="1">
        <v>44543</v>
      </c>
      <c r="B44" t="s">
        <v>217</v>
      </c>
      <c r="C44" t="s">
        <v>306</v>
      </c>
      <c r="D44" t="s">
        <v>395</v>
      </c>
      <c r="E44">
        <v>1</v>
      </c>
      <c r="F44" s="2">
        <v>1252</v>
      </c>
      <c r="G44" s="2">
        <v>2295</v>
      </c>
      <c r="H44" s="2">
        <v>1043</v>
      </c>
      <c r="I44" s="2">
        <f t="shared" si="0"/>
        <v>1252</v>
      </c>
      <c r="J44" s="2">
        <f t="shared" si="1"/>
        <v>2295</v>
      </c>
    </row>
    <row r="45" spans="1:10" x14ac:dyDescent="0.3">
      <c r="A45" s="1">
        <v>44543</v>
      </c>
      <c r="B45" t="s">
        <v>218</v>
      </c>
      <c r="C45" t="s">
        <v>307</v>
      </c>
      <c r="D45" t="s">
        <v>396</v>
      </c>
      <c r="E45">
        <v>1</v>
      </c>
      <c r="F45" s="2">
        <v>1252</v>
      </c>
      <c r="G45" s="2">
        <v>2295</v>
      </c>
      <c r="H45" s="2">
        <v>1043</v>
      </c>
      <c r="I45" s="2">
        <f t="shared" si="0"/>
        <v>1252</v>
      </c>
      <c r="J45" s="2">
        <f t="shared" si="1"/>
        <v>2295</v>
      </c>
    </row>
    <row r="46" spans="1:10" x14ac:dyDescent="0.3">
      <c r="A46" s="1">
        <v>44544</v>
      </c>
      <c r="B46" t="s">
        <v>219</v>
      </c>
      <c r="C46" t="s">
        <v>308</v>
      </c>
      <c r="D46" t="s">
        <v>397</v>
      </c>
      <c r="E46">
        <v>2</v>
      </c>
      <c r="F46" s="2">
        <v>1266</v>
      </c>
      <c r="G46" s="2">
        <v>2320</v>
      </c>
      <c r="H46" s="2">
        <v>2108</v>
      </c>
      <c r="I46" s="2">
        <f t="shared" si="0"/>
        <v>2532</v>
      </c>
      <c r="J46" s="2">
        <f t="shared" si="1"/>
        <v>4640</v>
      </c>
    </row>
    <row r="47" spans="1:10" x14ac:dyDescent="0.3">
      <c r="A47" s="1">
        <v>44544</v>
      </c>
      <c r="B47" t="s">
        <v>220</v>
      </c>
      <c r="C47" t="s">
        <v>309</v>
      </c>
      <c r="D47" t="s">
        <v>398</v>
      </c>
      <c r="E47">
        <v>1</v>
      </c>
      <c r="F47" s="2">
        <v>1252</v>
      </c>
      <c r="G47" s="2">
        <v>2295</v>
      </c>
      <c r="H47" s="2">
        <v>1043</v>
      </c>
      <c r="I47" s="2">
        <f t="shared" si="0"/>
        <v>1252</v>
      </c>
      <c r="J47" s="2">
        <f t="shared" si="1"/>
        <v>2295</v>
      </c>
    </row>
    <row r="48" spans="1:10" x14ac:dyDescent="0.3">
      <c r="A48" s="1">
        <v>44544</v>
      </c>
      <c r="B48" t="s">
        <v>221</v>
      </c>
      <c r="C48" t="s">
        <v>310</v>
      </c>
      <c r="D48" t="s">
        <v>399</v>
      </c>
      <c r="E48">
        <v>1</v>
      </c>
      <c r="F48" s="2">
        <v>420</v>
      </c>
      <c r="G48" s="2">
        <v>769</v>
      </c>
      <c r="H48" s="2">
        <v>349</v>
      </c>
      <c r="I48" s="2">
        <f t="shared" si="0"/>
        <v>420</v>
      </c>
      <c r="J48" s="2">
        <f t="shared" si="1"/>
        <v>769</v>
      </c>
    </row>
    <row r="49" spans="1:10" x14ac:dyDescent="0.3">
      <c r="A49" s="1">
        <v>44545</v>
      </c>
      <c r="B49" t="s">
        <v>222</v>
      </c>
      <c r="C49" t="s">
        <v>311</v>
      </c>
      <c r="D49" t="s">
        <v>400</v>
      </c>
      <c r="E49">
        <v>1</v>
      </c>
      <c r="F49" s="2">
        <v>1266</v>
      </c>
      <c r="G49" s="2">
        <v>2320</v>
      </c>
      <c r="H49" s="2">
        <v>1054</v>
      </c>
      <c r="I49" s="2">
        <f t="shared" si="0"/>
        <v>1266</v>
      </c>
      <c r="J49" s="2">
        <f t="shared" si="1"/>
        <v>2320</v>
      </c>
    </row>
    <row r="50" spans="1:10" x14ac:dyDescent="0.3">
      <c r="A50" s="1">
        <v>44546</v>
      </c>
      <c r="B50" t="s">
        <v>223</v>
      </c>
      <c r="C50" t="s">
        <v>312</v>
      </c>
      <c r="D50" t="s">
        <v>401</v>
      </c>
      <c r="E50">
        <v>2</v>
      </c>
      <c r="F50" s="2">
        <v>1252</v>
      </c>
      <c r="G50" s="2">
        <v>2295</v>
      </c>
      <c r="H50" s="2">
        <v>2086</v>
      </c>
      <c r="I50" s="2">
        <f t="shared" si="0"/>
        <v>2504</v>
      </c>
      <c r="J50" s="2">
        <f t="shared" si="1"/>
        <v>4590</v>
      </c>
    </row>
    <row r="51" spans="1:10" x14ac:dyDescent="0.3">
      <c r="A51" s="1">
        <v>44546</v>
      </c>
      <c r="B51" t="s">
        <v>224</v>
      </c>
      <c r="C51" t="s">
        <v>313</v>
      </c>
      <c r="D51" t="s">
        <v>402</v>
      </c>
      <c r="E51">
        <v>2</v>
      </c>
      <c r="F51" s="2">
        <v>1252</v>
      </c>
      <c r="G51" s="2">
        <v>2295</v>
      </c>
      <c r="H51" s="2">
        <v>2086</v>
      </c>
      <c r="I51" s="2">
        <f t="shared" si="0"/>
        <v>2504</v>
      </c>
      <c r="J51" s="2">
        <f t="shared" si="1"/>
        <v>4590</v>
      </c>
    </row>
    <row r="52" spans="1:10" x14ac:dyDescent="0.3">
      <c r="A52" s="1">
        <v>44546</v>
      </c>
      <c r="B52" t="s">
        <v>225</v>
      </c>
      <c r="C52" t="s">
        <v>314</v>
      </c>
      <c r="D52" t="s">
        <v>403</v>
      </c>
      <c r="E52">
        <v>1</v>
      </c>
      <c r="F52" s="2">
        <v>1266</v>
      </c>
      <c r="G52" s="2">
        <v>2320</v>
      </c>
      <c r="H52" s="2">
        <v>1054</v>
      </c>
      <c r="I52" s="2">
        <f t="shared" si="0"/>
        <v>1266</v>
      </c>
      <c r="J52" s="2">
        <f t="shared" si="1"/>
        <v>2320</v>
      </c>
    </row>
    <row r="53" spans="1:10" x14ac:dyDescent="0.3">
      <c r="A53" s="1">
        <v>44547</v>
      </c>
      <c r="B53" t="s">
        <v>226</v>
      </c>
      <c r="C53" t="s">
        <v>315</v>
      </c>
      <c r="D53" t="s">
        <v>404</v>
      </c>
      <c r="E53">
        <v>2</v>
      </c>
      <c r="F53" s="2">
        <v>1266</v>
      </c>
      <c r="G53" s="2">
        <v>2320</v>
      </c>
      <c r="H53" s="2">
        <v>2108</v>
      </c>
      <c r="I53" s="2">
        <f t="shared" si="0"/>
        <v>2532</v>
      </c>
      <c r="J53" s="2">
        <f t="shared" si="1"/>
        <v>4640</v>
      </c>
    </row>
    <row r="54" spans="1:10" x14ac:dyDescent="0.3">
      <c r="A54" s="1">
        <v>44547</v>
      </c>
      <c r="B54" t="s">
        <v>227</v>
      </c>
      <c r="C54" t="s">
        <v>316</v>
      </c>
      <c r="D54" t="s">
        <v>405</v>
      </c>
      <c r="E54">
        <v>1</v>
      </c>
      <c r="F54" s="2">
        <v>420</v>
      </c>
      <c r="G54" s="2">
        <v>769</v>
      </c>
      <c r="H54" s="2">
        <v>349</v>
      </c>
      <c r="I54" s="2">
        <f t="shared" si="0"/>
        <v>420</v>
      </c>
      <c r="J54" s="2">
        <f t="shared" si="1"/>
        <v>769</v>
      </c>
    </row>
    <row r="55" spans="1:10" x14ac:dyDescent="0.3">
      <c r="A55" s="1">
        <v>44547</v>
      </c>
      <c r="B55" t="s">
        <v>228</v>
      </c>
      <c r="C55" t="s">
        <v>317</v>
      </c>
      <c r="D55" t="s">
        <v>406</v>
      </c>
      <c r="E55">
        <v>1</v>
      </c>
      <c r="F55" s="2">
        <v>1266</v>
      </c>
      <c r="G55" s="2">
        <v>2320</v>
      </c>
      <c r="H55" s="2">
        <v>1054</v>
      </c>
      <c r="I55" s="2">
        <f t="shared" si="0"/>
        <v>1266</v>
      </c>
      <c r="J55" s="2">
        <f t="shared" si="1"/>
        <v>2320</v>
      </c>
    </row>
    <row r="56" spans="1:10" x14ac:dyDescent="0.3">
      <c r="A56" s="1">
        <v>44548</v>
      </c>
      <c r="B56" t="s">
        <v>229</v>
      </c>
      <c r="C56" t="s">
        <v>318</v>
      </c>
      <c r="D56" t="s">
        <v>407</v>
      </c>
      <c r="E56">
        <v>4</v>
      </c>
      <c r="F56" s="2">
        <v>308</v>
      </c>
      <c r="G56" s="2">
        <v>565</v>
      </c>
      <c r="H56" s="2">
        <v>1028</v>
      </c>
      <c r="I56" s="2">
        <f t="shared" si="0"/>
        <v>1232</v>
      </c>
      <c r="J56" s="2">
        <f t="shared" si="1"/>
        <v>2260</v>
      </c>
    </row>
    <row r="57" spans="1:10" x14ac:dyDescent="0.3">
      <c r="A57" s="1">
        <v>44548</v>
      </c>
      <c r="B57" t="s">
        <v>230</v>
      </c>
      <c r="C57" t="s">
        <v>319</v>
      </c>
      <c r="D57" t="s">
        <v>408</v>
      </c>
      <c r="E57">
        <v>4</v>
      </c>
      <c r="F57" s="2">
        <v>1266</v>
      </c>
      <c r="G57" s="2">
        <v>2320</v>
      </c>
      <c r="H57" s="2">
        <v>4216</v>
      </c>
      <c r="I57" s="2">
        <f t="shared" si="0"/>
        <v>5064</v>
      </c>
      <c r="J57" s="2">
        <f t="shared" si="1"/>
        <v>9280</v>
      </c>
    </row>
    <row r="58" spans="1:10" x14ac:dyDescent="0.3">
      <c r="A58" s="1">
        <v>44548</v>
      </c>
      <c r="B58" t="s">
        <v>231</v>
      </c>
      <c r="C58" t="s">
        <v>320</v>
      </c>
      <c r="D58" t="s">
        <v>409</v>
      </c>
      <c r="E58">
        <v>3</v>
      </c>
      <c r="F58" s="2">
        <v>1266</v>
      </c>
      <c r="G58" s="2">
        <v>2320</v>
      </c>
      <c r="H58" s="2">
        <v>3162</v>
      </c>
      <c r="I58" s="2">
        <f t="shared" si="0"/>
        <v>3798</v>
      </c>
      <c r="J58" s="2">
        <f t="shared" si="1"/>
        <v>6960</v>
      </c>
    </row>
    <row r="59" spans="1:10" x14ac:dyDescent="0.3">
      <c r="A59" s="1">
        <v>44548</v>
      </c>
      <c r="B59" t="s">
        <v>232</v>
      </c>
      <c r="C59" t="s">
        <v>321</v>
      </c>
      <c r="D59" t="s">
        <v>410</v>
      </c>
      <c r="E59">
        <v>3</v>
      </c>
      <c r="F59" s="2">
        <v>420</v>
      </c>
      <c r="G59" s="2">
        <v>769</v>
      </c>
      <c r="H59" s="2">
        <v>1047</v>
      </c>
      <c r="I59" s="2">
        <f t="shared" si="0"/>
        <v>1260</v>
      </c>
      <c r="J59" s="2">
        <f t="shared" si="1"/>
        <v>2307</v>
      </c>
    </row>
    <row r="60" spans="1:10" x14ac:dyDescent="0.3">
      <c r="A60" s="1">
        <v>44548</v>
      </c>
      <c r="B60" t="s">
        <v>233</v>
      </c>
      <c r="C60" t="s">
        <v>322</v>
      </c>
      <c r="D60" t="s">
        <v>411</v>
      </c>
      <c r="E60">
        <v>3</v>
      </c>
      <c r="F60" s="2">
        <v>1252</v>
      </c>
      <c r="G60" s="2">
        <v>2295</v>
      </c>
      <c r="H60" s="2">
        <v>3129</v>
      </c>
      <c r="I60" s="2">
        <f t="shared" si="0"/>
        <v>3756</v>
      </c>
      <c r="J60" s="2">
        <f t="shared" si="1"/>
        <v>6885</v>
      </c>
    </row>
    <row r="61" spans="1:10" x14ac:dyDescent="0.3">
      <c r="A61" s="1">
        <v>44548</v>
      </c>
      <c r="B61" t="s">
        <v>234</v>
      </c>
      <c r="C61" t="s">
        <v>323</v>
      </c>
      <c r="D61" t="s">
        <v>412</v>
      </c>
      <c r="E61">
        <v>1</v>
      </c>
      <c r="F61" s="2">
        <v>1252</v>
      </c>
      <c r="G61" s="2">
        <v>2295</v>
      </c>
      <c r="H61" s="2">
        <v>1043</v>
      </c>
      <c r="I61" s="2">
        <f t="shared" si="0"/>
        <v>1252</v>
      </c>
      <c r="J61" s="2">
        <f t="shared" si="1"/>
        <v>2295</v>
      </c>
    </row>
    <row r="62" spans="1:10" x14ac:dyDescent="0.3">
      <c r="A62" s="1">
        <v>44548</v>
      </c>
      <c r="B62" t="s">
        <v>235</v>
      </c>
      <c r="C62" t="s">
        <v>324</v>
      </c>
      <c r="D62" t="s">
        <v>413</v>
      </c>
      <c r="E62">
        <v>1</v>
      </c>
      <c r="F62" s="2">
        <v>1266</v>
      </c>
      <c r="G62" s="2">
        <v>2320</v>
      </c>
      <c r="H62" s="2">
        <v>1054</v>
      </c>
      <c r="I62" s="2">
        <f t="shared" si="0"/>
        <v>1266</v>
      </c>
      <c r="J62" s="2">
        <f t="shared" si="1"/>
        <v>2320</v>
      </c>
    </row>
    <row r="63" spans="1:10" x14ac:dyDescent="0.3">
      <c r="A63" s="1">
        <v>44549</v>
      </c>
      <c r="B63" t="s">
        <v>236</v>
      </c>
      <c r="C63" t="s">
        <v>325</v>
      </c>
      <c r="D63" t="s">
        <v>414</v>
      </c>
      <c r="E63">
        <v>4</v>
      </c>
      <c r="F63" s="2">
        <v>1266</v>
      </c>
      <c r="G63" s="2">
        <v>2320</v>
      </c>
      <c r="H63" s="2">
        <v>4216</v>
      </c>
      <c r="I63" s="2">
        <f t="shared" si="0"/>
        <v>5064</v>
      </c>
      <c r="J63" s="2">
        <f t="shared" si="1"/>
        <v>9280</v>
      </c>
    </row>
    <row r="64" spans="1:10" x14ac:dyDescent="0.3">
      <c r="A64" s="1">
        <v>44549</v>
      </c>
      <c r="B64" t="s">
        <v>237</v>
      </c>
      <c r="C64" t="s">
        <v>326</v>
      </c>
      <c r="D64" t="s">
        <v>415</v>
      </c>
      <c r="E64">
        <v>4</v>
      </c>
      <c r="F64" s="2">
        <v>295</v>
      </c>
      <c r="G64" s="2">
        <v>540</v>
      </c>
      <c r="H64" s="2">
        <v>980</v>
      </c>
      <c r="I64" s="2">
        <f t="shared" si="0"/>
        <v>1180</v>
      </c>
      <c r="J64" s="2">
        <f t="shared" si="1"/>
        <v>2160</v>
      </c>
    </row>
    <row r="65" spans="1:10" x14ac:dyDescent="0.3">
      <c r="A65" s="1">
        <v>44549</v>
      </c>
      <c r="B65" t="s">
        <v>238</v>
      </c>
      <c r="C65" t="s">
        <v>327</v>
      </c>
      <c r="D65" t="s">
        <v>416</v>
      </c>
      <c r="E65">
        <v>4</v>
      </c>
      <c r="F65" s="2">
        <v>1252</v>
      </c>
      <c r="G65" s="2">
        <v>2295</v>
      </c>
      <c r="H65" s="2">
        <v>4172</v>
      </c>
      <c r="I65" s="2">
        <f t="shared" si="0"/>
        <v>5008</v>
      </c>
      <c r="J65" s="2">
        <f t="shared" si="1"/>
        <v>9180</v>
      </c>
    </row>
    <row r="66" spans="1:10" x14ac:dyDescent="0.3">
      <c r="A66" s="1">
        <v>44549</v>
      </c>
      <c r="B66" t="s">
        <v>239</v>
      </c>
      <c r="C66" t="s">
        <v>328</v>
      </c>
      <c r="D66" t="s">
        <v>417</v>
      </c>
      <c r="E66">
        <v>4</v>
      </c>
      <c r="F66" s="2">
        <v>1898</v>
      </c>
      <c r="G66" s="2">
        <v>3375</v>
      </c>
      <c r="H66" s="2">
        <v>5908</v>
      </c>
      <c r="I66" s="2">
        <f t="shared" si="0"/>
        <v>7592</v>
      </c>
      <c r="J66" s="2">
        <f t="shared" si="1"/>
        <v>13500</v>
      </c>
    </row>
    <row r="67" spans="1:10" x14ac:dyDescent="0.3">
      <c r="A67" s="1">
        <v>44549</v>
      </c>
      <c r="B67" t="s">
        <v>240</v>
      </c>
      <c r="C67" t="s">
        <v>329</v>
      </c>
      <c r="D67" t="s">
        <v>418</v>
      </c>
      <c r="E67">
        <v>4</v>
      </c>
      <c r="F67" s="2">
        <v>1252</v>
      </c>
      <c r="G67" s="2">
        <v>2295</v>
      </c>
      <c r="H67" s="2">
        <v>4172</v>
      </c>
      <c r="I67" s="2">
        <f t="shared" ref="I67:I89" si="4">E67*F67</f>
        <v>5008</v>
      </c>
      <c r="J67" s="2">
        <f t="shared" ref="J67:J89" si="5">E67*G67</f>
        <v>9180</v>
      </c>
    </row>
    <row r="68" spans="1:10" x14ac:dyDescent="0.3">
      <c r="A68" s="1">
        <v>44549</v>
      </c>
      <c r="B68" t="s">
        <v>241</v>
      </c>
      <c r="C68" t="s">
        <v>330</v>
      </c>
      <c r="D68" t="s">
        <v>419</v>
      </c>
      <c r="E68">
        <v>4</v>
      </c>
      <c r="F68" s="2">
        <v>1252</v>
      </c>
      <c r="G68" s="2">
        <v>2295</v>
      </c>
      <c r="H68" s="2">
        <v>4172</v>
      </c>
      <c r="I68" s="2">
        <f t="shared" si="4"/>
        <v>5008</v>
      </c>
      <c r="J68" s="2">
        <f t="shared" si="5"/>
        <v>9180</v>
      </c>
    </row>
    <row r="69" spans="1:10" x14ac:dyDescent="0.3">
      <c r="A69" s="1">
        <v>44549</v>
      </c>
      <c r="B69" t="s">
        <v>242</v>
      </c>
      <c r="C69" t="s">
        <v>331</v>
      </c>
      <c r="D69" t="s">
        <v>420</v>
      </c>
      <c r="E69">
        <v>4</v>
      </c>
      <c r="F69" s="2">
        <v>1252</v>
      </c>
      <c r="G69" s="2">
        <v>2295</v>
      </c>
      <c r="H69" s="2">
        <v>4172</v>
      </c>
      <c r="I69" s="2">
        <f t="shared" si="4"/>
        <v>5008</v>
      </c>
      <c r="J69" s="2">
        <f t="shared" si="5"/>
        <v>9180</v>
      </c>
    </row>
    <row r="70" spans="1:10" x14ac:dyDescent="0.3">
      <c r="A70" s="1">
        <v>44549</v>
      </c>
      <c r="B70" t="s">
        <v>243</v>
      </c>
      <c r="C70" t="s">
        <v>332</v>
      </c>
      <c r="D70" t="s">
        <v>421</v>
      </c>
      <c r="E70">
        <v>2</v>
      </c>
      <c r="F70" s="2">
        <v>295</v>
      </c>
      <c r="G70" s="2">
        <v>540</v>
      </c>
      <c r="H70" s="2">
        <v>490</v>
      </c>
      <c r="I70" s="2">
        <f t="shared" si="4"/>
        <v>590</v>
      </c>
      <c r="J70" s="2">
        <f t="shared" si="5"/>
        <v>1080</v>
      </c>
    </row>
    <row r="71" spans="1:10" x14ac:dyDescent="0.3">
      <c r="A71" s="1">
        <v>44549</v>
      </c>
      <c r="B71" t="s">
        <v>244</v>
      </c>
      <c r="C71" t="s">
        <v>333</v>
      </c>
      <c r="D71" t="s">
        <v>422</v>
      </c>
      <c r="E71">
        <v>2</v>
      </c>
      <c r="F71" s="2">
        <v>1252</v>
      </c>
      <c r="G71" s="2">
        <v>2295</v>
      </c>
      <c r="H71" s="2">
        <v>2086</v>
      </c>
      <c r="I71" s="2">
        <f t="shared" si="4"/>
        <v>2504</v>
      </c>
      <c r="J71" s="2">
        <f t="shared" si="5"/>
        <v>4590</v>
      </c>
    </row>
    <row r="72" spans="1:10" x14ac:dyDescent="0.3">
      <c r="A72" s="1">
        <v>44549</v>
      </c>
      <c r="B72" t="s">
        <v>245</v>
      </c>
      <c r="C72" t="s">
        <v>334</v>
      </c>
      <c r="D72" t="s">
        <v>423</v>
      </c>
      <c r="E72">
        <v>1</v>
      </c>
      <c r="F72" s="2">
        <v>1266</v>
      </c>
      <c r="G72" s="2">
        <v>2320</v>
      </c>
      <c r="H72" s="2">
        <v>1054</v>
      </c>
      <c r="I72" s="2">
        <f t="shared" si="4"/>
        <v>1266</v>
      </c>
      <c r="J72" s="2">
        <f t="shared" si="5"/>
        <v>2320</v>
      </c>
    </row>
    <row r="73" spans="1:10" x14ac:dyDescent="0.3">
      <c r="A73" s="1">
        <v>44550</v>
      </c>
      <c r="B73" t="s">
        <v>246</v>
      </c>
      <c r="C73" t="s">
        <v>335</v>
      </c>
      <c r="D73" t="s">
        <v>424</v>
      </c>
      <c r="E73">
        <v>4</v>
      </c>
      <c r="F73" s="2">
        <v>1898</v>
      </c>
      <c r="G73" s="2">
        <v>3375</v>
      </c>
      <c r="H73" s="2">
        <v>5908</v>
      </c>
      <c r="I73" s="2">
        <f t="shared" si="4"/>
        <v>7592</v>
      </c>
      <c r="J73" s="2">
        <f t="shared" si="5"/>
        <v>13500</v>
      </c>
    </row>
    <row r="74" spans="1:10" x14ac:dyDescent="0.3">
      <c r="A74" s="1">
        <v>44550</v>
      </c>
      <c r="B74" t="s">
        <v>247</v>
      </c>
      <c r="C74" t="s">
        <v>336</v>
      </c>
      <c r="D74" t="s">
        <v>425</v>
      </c>
      <c r="E74">
        <v>4</v>
      </c>
      <c r="F74" s="2">
        <v>1252</v>
      </c>
      <c r="G74" s="2">
        <v>2295</v>
      </c>
      <c r="H74" s="2">
        <v>4172</v>
      </c>
      <c r="I74" s="2">
        <f t="shared" si="4"/>
        <v>5008</v>
      </c>
      <c r="J74" s="2">
        <f t="shared" si="5"/>
        <v>9180</v>
      </c>
    </row>
    <row r="75" spans="1:10" x14ac:dyDescent="0.3">
      <c r="A75" s="1">
        <v>44550</v>
      </c>
      <c r="B75" t="s">
        <v>248</v>
      </c>
      <c r="C75" t="s">
        <v>337</v>
      </c>
      <c r="D75" t="s">
        <v>426</v>
      </c>
      <c r="E75">
        <v>3</v>
      </c>
      <c r="F75" s="2">
        <v>295</v>
      </c>
      <c r="G75" s="2">
        <v>540</v>
      </c>
      <c r="H75" s="2">
        <v>735</v>
      </c>
      <c r="I75" s="2">
        <f t="shared" si="4"/>
        <v>885</v>
      </c>
      <c r="J75" s="2">
        <f t="shared" si="5"/>
        <v>1620</v>
      </c>
    </row>
    <row r="76" spans="1:10" x14ac:dyDescent="0.3">
      <c r="A76" s="1">
        <v>44550</v>
      </c>
      <c r="B76" t="s">
        <v>249</v>
      </c>
      <c r="C76" t="s">
        <v>338</v>
      </c>
      <c r="D76" t="s">
        <v>427</v>
      </c>
      <c r="E76">
        <v>1</v>
      </c>
      <c r="F76" s="2">
        <v>1266</v>
      </c>
      <c r="G76" s="2">
        <v>2320</v>
      </c>
      <c r="H76" s="2">
        <v>1054</v>
      </c>
      <c r="I76" s="2">
        <f t="shared" si="4"/>
        <v>1266</v>
      </c>
      <c r="J76" s="2">
        <f t="shared" si="5"/>
        <v>2320</v>
      </c>
    </row>
    <row r="77" spans="1:10" x14ac:dyDescent="0.3">
      <c r="A77" s="1">
        <v>44550</v>
      </c>
      <c r="B77" t="s">
        <v>250</v>
      </c>
      <c r="C77" t="s">
        <v>339</v>
      </c>
      <c r="D77" t="s">
        <v>428</v>
      </c>
      <c r="E77">
        <v>1</v>
      </c>
      <c r="F77" s="2">
        <v>1266</v>
      </c>
      <c r="G77" s="2">
        <v>2320</v>
      </c>
      <c r="H77" s="2">
        <v>1054</v>
      </c>
      <c r="I77" s="2">
        <f t="shared" si="4"/>
        <v>1266</v>
      </c>
      <c r="J77" s="2">
        <f t="shared" si="5"/>
        <v>2320</v>
      </c>
    </row>
    <row r="78" spans="1:10" x14ac:dyDescent="0.3">
      <c r="A78" s="1">
        <v>44551</v>
      </c>
      <c r="B78" t="s">
        <v>251</v>
      </c>
      <c r="C78" t="s">
        <v>340</v>
      </c>
      <c r="D78" t="s">
        <v>429</v>
      </c>
      <c r="E78">
        <v>3</v>
      </c>
      <c r="F78" s="2">
        <v>1266</v>
      </c>
      <c r="G78" s="2">
        <v>2320</v>
      </c>
      <c r="H78" s="2">
        <v>3162</v>
      </c>
      <c r="I78" s="2">
        <f t="shared" si="4"/>
        <v>3798</v>
      </c>
      <c r="J78" s="2">
        <f t="shared" si="5"/>
        <v>6960</v>
      </c>
    </row>
    <row r="79" spans="1:10" x14ac:dyDescent="0.3">
      <c r="A79" s="1">
        <v>44551</v>
      </c>
      <c r="B79" t="s">
        <v>252</v>
      </c>
      <c r="C79" t="s">
        <v>341</v>
      </c>
      <c r="D79" t="s">
        <v>430</v>
      </c>
      <c r="E79">
        <v>2</v>
      </c>
      <c r="F79" s="2">
        <v>420</v>
      </c>
      <c r="G79" s="2">
        <v>769</v>
      </c>
      <c r="H79" s="2">
        <v>698</v>
      </c>
      <c r="I79" s="2">
        <f t="shared" si="4"/>
        <v>840</v>
      </c>
      <c r="J79" s="2">
        <f t="shared" si="5"/>
        <v>1538</v>
      </c>
    </row>
    <row r="80" spans="1:10" x14ac:dyDescent="0.3">
      <c r="A80" s="1">
        <v>44552</v>
      </c>
      <c r="B80" t="s">
        <v>253</v>
      </c>
      <c r="C80" t="s">
        <v>342</v>
      </c>
      <c r="D80" t="s">
        <v>431</v>
      </c>
      <c r="E80">
        <v>3</v>
      </c>
      <c r="F80" s="2">
        <v>1266</v>
      </c>
      <c r="G80" s="2">
        <v>2320</v>
      </c>
      <c r="H80" s="2">
        <v>3162</v>
      </c>
      <c r="I80" s="2">
        <f t="shared" si="4"/>
        <v>3798</v>
      </c>
      <c r="J80" s="2">
        <f t="shared" si="5"/>
        <v>6960</v>
      </c>
    </row>
    <row r="81" spans="1:10" x14ac:dyDescent="0.3">
      <c r="A81" s="1">
        <v>44552</v>
      </c>
      <c r="B81" t="s">
        <v>254</v>
      </c>
      <c r="C81" t="s">
        <v>343</v>
      </c>
      <c r="D81" t="s">
        <v>432</v>
      </c>
      <c r="E81">
        <v>3</v>
      </c>
      <c r="F81" s="2">
        <v>1252</v>
      </c>
      <c r="G81" s="2">
        <v>2295</v>
      </c>
      <c r="H81" s="2">
        <v>3129</v>
      </c>
      <c r="I81" s="2">
        <f t="shared" si="4"/>
        <v>3756</v>
      </c>
      <c r="J81" s="2">
        <f t="shared" si="5"/>
        <v>6885</v>
      </c>
    </row>
    <row r="82" spans="1:10" x14ac:dyDescent="0.3">
      <c r="A82" s="1">
        <v>44552</v>
      </c>
      <c r="B82" t="s">
        <v>255</v>
      </c>
      <c r="C82" t="s">
        <v>344</v>
      </c>
      <c r="D82" t="s">
        <v>433</v>
      </c>
      <c r="E82">
        <v>1</v>
      </c>
      <c r="F82" s="2">
        <v>308</v>
      </c>
      <c r="G82" s="2">
        <v>565</v>
      </c>
      <c r="H82" s="2">
        <v>257</v>
      </c>
      <c r="I82" s="2">
        <f t="shared" si="4"/>
        <v>308</v>
      </c>
      <c r="J82" s="2">
        <f t="shared" si="5"/>
        <v>565</v>
      </c>
    </row>
    <row r="83" spans="1:10" x14ac:dyDescent="0.3">
      <c r="A83" s="1">
        <v>44552</v>
      </c>
      <c r="B83" t="s">
        <v>256</v>
      </c>
      <c r="C83" t="s">
        <v>345</v>
      </c>
      <c r="D83" t="s">
        <v>434</v>
      </c>
      <c r="E83">
        <v>1</v>
      </c>
      <c r="F83" s="2">
        <v>1252</v>
      </c>
      <c r="G83" s="2">
        <v>2295</v>
      </c>
      <c r="H83" s="2">
        <v>1043</v>
      </c>
      <c r="I83" s="2">
        <f t="shared" si="4"/>
        <v>1252</v>
      </c>
      <c r="J83" s="2">
        <f t="shared" si="5"/>
        <v>2295</v>
      </c>
    </row>
    <row r="84" spans="1:10" x14ac:dyDescent="0.3">
      <c r="A84" s="1">
        <v>44552</v>
      </c>
      <c r="B84" t="s">
        <v>257</v>
      </c>
      <c r="C84" t="s">
        <v>346</v>
      </c>
      <c r="D84" t="s">
        <v>435</v>
      </c>
      <c r="E84">
        <v>1</v>
      </c>
      <c r="F84" s="2">
        <v>1252</v>
      </c>
      <c r="G84" s="2">
        <v>2295</v>
      </c>
      <c r="H84" s="2">
        <v>1043</v>
      </c>
      <c r="I84" s="2">
        <f t="shared" si="4"/>
        <v>1252</v>
      </c>
      <c r="J84" s="2">
        <f t="shared" si="5"/>
        <v>2295</v>
      </c>
    </row>
    <row r="85" spans="1:10" x14ac:dyDescent="0.3">
      <c r="A85" s="1">
        <v>44552</v>
      </c>
      <c r="B85" t="s">
        <v>258</v>
      </c>
      <c r="C85" t="s">
        <v>347</v>
      </c>
      <c r="D85" t="s">
        <v>436</v>
      </c>
      <c r="E85">
        <v>1</v>
      </c>
      <c r="F85" s="2">
        <v>1266</v>
      </c>
      <c r="G85" s="2">
        <v>2320</v>
      </c>
      <c r="H85" s="2">
        <v>1054</v>
      </c>
      <c r="I85" s="2">
        <f t="shared" si="4"/>
        <v>1266</v>
      </c>
      <c r="J85" s="2">
        <f t="shared" si="5"/>
        <v>2320</v>
      </c>
    </row>
    <row r="86" spans="1:10" x14ac:dyDescent="0.3">
      <c r="A86" s="1">
        <v>44553</v>
      </c>
      <c r="B86" t="s">
        <v>259</v>
      </c>
      <c r="C86" t="s">
        <v>348</v>
      </c>
      <c r="D86" t="s">
        <v>437</v>
      </c>
      <c r="E86">
        <v>1</v>
      </c>
      <c r="F86" s="2">
        <v>1266</v>
      </c>
      <c r="G86" s="2">
        <v>2320</v>
      </c>
      <c r="H86" s="2">
        <v>1054</v>
      </c>
      <c r="I86" s="2">
        <f t="shared" si="4"/>
        <v>1266</v>
      </c>
      <c r="J86" s="2">
        <f t="shared" si="5"/>
        <v>2320</v>
      </c>
    </row>
    <row r="87" spans="1:10" x14ac:dyDescent="0.3">
      <c r="A87" s="1">
        <v>44553</v>
      </c>
      <c r="B87" t="s">
        <v>260</v>
      </c>
      <c r="C87" t="s">
        <v>349</v>
      </c>
      <c r="D87" t="s">
        <v>438</v>
      </c>
      <c r="E87">
        <v>1</v>
      </c>
      <c r="F87" s="2">
        <v>1252</v>
      </c>
      <c r="G87" s="2">
        <v>2295</v>
      </c>
      <c r="H87" s="2">
        <v>1043</v>
      </c>
      <c r="I87" s="2">
        <f t="shared" si="4"/>
        <v>1252</v>
      </c>
      <c r="J87" s="2">
        <f t="shared" si="5"/>
        <v>2295</v>
      </c>
    </row>
    <row r="88" spans="1:10" x14ac:dyDescent="0.3">
      <c r="A88" s="1">
        <v>44553</v>
      </c>
      <c r="B88" t="s">
        <v>261</v>
      </c>
      <c r="C88" t="s">
        <v>350</v>
      </c>
      <c r="D88" t="s">
        <v>439</v>
      </c>
      <c r="E88">
        <v>1</v>
      </c>
      <c r="F88" s="2">
        <v>295</v>
      </c>
      <c r="G88" s="2">
        <v>540</v>
      </c>
      <c r="H88" s="2">
        <v>245</v>
      </c>
      <c r="I88" s="2">
        <f t="shared" si="4"/>
        <v>295</v>
      </c>
      <c r="J88" s="2">
        <f t="shared" si="5"/>
        <v>540</v>
      </c>
    </row>
    <row r="89" spans="1:10" x14ac:dyDescent="0.3">
      <c r="A89" s="1">
        <v>44554</v>
      </c>
      <c r="B89" t="s">
        <v>262</v>
      </c>
      <c r="C89" t="s">
        <v>351</v>
      </c>
      <c r="D89" t="s">
        <v>440</v>
      </c>
      <c r="E89">
        <v>4</v>
      </c>
      <c r="F89" s="2">
        <v>1252</v>
      </c>
      <c r="G89" s="2">
        <v>2295</v>
      </c>
      <c r="H89" s="2">
        <v>4172</v>
      </c>
      <c r="I89" s="2">
        <f t="shared" si="4"/>
        <v>5008</v>
      </c>
      <c r="J89" s="2">
        <f t="shared" si="5"/>
        <v>9180</v>
      </c>
    </row>
  </sheetData>
  <phoneticPr fontId="18" type="noConversion"/>
  <conditionalFormatting sqref="A1:A89 E1:J89">
    <cfRule type="containsText" dxfId="25" priority="8" operator="containsText" text="Sales_Order #">
      <formula>NOT(ISERROR(SEARCH("Sales_Order #",A1)))</formula>
    </cfRule>
  </conditionalFormatting>
  <conditionalFormatting sqref="A1:A89 E1:J89">
    <cfRule type="containsBlanks" dxfId="24" priority="6">
      <formula>LEN(TRIM(A1))=0</formula>
    </cfRule>
  </conditionalFormatting>
  <conditionalFormatting sqref="F1:F1048576">
    <cfRule type="cellIs" dxfId="23" priority="5" operator="equal">
      <formula>"$956.00 "</formula>
    </cfRule>
  </conditionalFormatting>
  <conditionalFormatting sqref="F1:G1048576">
    <cfRule type="cellIs" dxfId="22" priority="3" operator="equal">
      <formula>0</formula>
    </cfRule>
  </conditionalFormatting>
  <conditionalFormatting sqref="B1:B89">
    <cfRule type="containsBlanks" dxfId="21" priority="1">
      <formula>LEN(TRIM(B1))=0</formula>
    </cfRule>
  </conditionalFormatting>
  <conditionalFormatting sqref="B1:B89">
    <cfRule type="containsText" dxfId="20" priority="2" operator="containsText" text="Sales_Order #">
      <formula>NOT(ISERROR(SEARCH("Sales_Order #",B1)))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F4D8-1124-4E72-B9E4-1200DEE12A84}">
  <dimension ref="A1:I89"/>
  <sheetViews>
    <sheetView workbookViewId="0">
      <selection activeCell="I7" sqref="I7"/>
    </sheetView>
  </sheetViews>
  <sheetFormatPr defaultRowHeight="14.4" x14ac:dyDescent="0.3"/>
  <cols>
    <col min="1" max="1" width="15.5546875" style="24" customWidth="1"/>
    <col min="2" max="2" width="19.6640625" style="24" customWidth="1"/>
    <col min="3" max="3" width="13.5546875" customWidth="1"/>
    <col min="4" max="4" width="15.21875" customWidth="1"/>
    <col min="5" max="5" width="17.88671875" bestFit="1" customWidth="1"/>
    <col min="6" max="6" width="18.109375" customWidth="1"/>
    <col min="8" max="8" width="10.44140625" customWidth="1"/>
  </cols>
  <sheetData>
    <row r="1" spans="1:9" s="32" customFormat="1" ht="28.8" x14ac:dyDescent="0.3">
      <c r="A1" s="25" t="s">
        <v>8</v>
      </c>
      <c r="B1" s="25" t="s">
        <v>9</v>
      </c>
      <c r="C1" s="31" t="s">
        <v>174</v>
      </c>
      <c r="D1" s="10" t="s">
        <v>5</v>
      </c>
      <c r="E1" s="31" t="s">
        <v>173</v>
      </c>
      <c r="F1" s="31" t="s">
        <v>7</v>
      </c>
    </row>
    <row r="2" spans="1:9" x14ac:dyDescent="0.3">
      <c r="A2" s="24" t="s">
        <v>29</v>
      </c>
      <c r="B2" s="24" t="s">
        <v>24</v>
      </c>
      <c r="C2" t="s">
        <v>175</v>
      </c>
      <c r="D2">
        <v>39</v>
      </c>
      <c r="E2" t="s">
        <v>21</v>
      </c>
      <c r="F2" t="s">
        <v>171</v>
      </c>
    </row>
    <row r="3" spans="1:9" x14ac:dyDescent="0.3">
      <c r="A3" s="24" t="s">
        <v>23</v>
      </c>
      <c r="B3" s="24" t="s">
        <v>30</v>
      </c>
      <c r="C3" t="s">
        <v>176</v>
      </c>
      <c r="D3">
        <v>44</v>
      </c>
      <c r="E3" t="s">
        <v>21</v>
      </c>
      <c r="F3" t="s">
        <v>172</v>
      </c>
    </row>
    <row r="4" spans="1:9" x14ac:dyDescent="0.3">
      <c r="A4" s="24" t="s">
        <v>37</v>
      </c>
      <c r="B4" s="24" t="s">
        <v>24</v>
      </c>
      <c r="C4" t="s">
        <v>177</v>
      </c>
      <c r="D4">
        <v>37</v>
      </c>
      <c r="E4" t="s">
        <v>21</v>
      </c>
      <c r="F4" t="s">
        <v>172</v>
      </c>
    </row>
    <row r="5" spans="1:9" x14ac:dyDescent="0.3">
      <c r="A5" s="24" t="s">
        <v>23</v>
      </c>
      <c r="B5" s="24" t="s">
        <v>38</v>
      </c>
      <c r="C5" t="s">
        <v>178</v>
      </c>
      <c r="D5">
        <v>31</v>
      </c>
      <c r="E5" t="s">
        <v>36</v>
      </c>
      <c r="F5" t="s">
        <v>171</v>
      </c>
    </row>
    <row r="6" spans="1:9" x14ac:dyDescent="0.3">
      <c r="A6" s="24" t="s">
        <v>29</v>
      </c>
      <c r="B6" s="24" t="s">
        <v>24</v>
      </c>
      <c r="C6" t="s">
        <v>179</v>
      </c>
      <c r="D6">
        <v>37</v>
      </c>
      <c r="E6" t="s">
        <v>21</v>
      </c>
      <c r="F6" t="s">
        <v>171</v>
      </c>
    </row>
    <row r="7" spans="1:9" x14ac:dyDescent="0.3">
      <c r="A7" s="24" t="s">
        <v>23</v>
      </c>
      <c r="B7" s="24" t="s">
        <v>30</v>
      </c>
      <c r="C7" t="s">
        <v>180</v>
      </c>
      <c r="D7">
        <v>24</v>
      </c>
      <c r="E7" t="s">
        <v>43</v>
      </c>
      <c r="F7" t="s">
        <v>171</v>
      </c>
    </row>
    <row r="8" spans="1:9" x14ac:dyDescent="0.3">
      <c r="A8" s="26" t="s">
        <v>37</v>
      </c>
      <c r="B8" s="26" t="s">
        <v>47</v>
      </c>
      <c r="C8" t="s">
        <v>181</v>
      </c>
      <c r="D8" s="5">
        <v>37</v>
      </c>
      <c r="E8" t="s">
        <v>21</v>
      </c>
      <c r="F8" t="s">
        <v>172</v>
      </c>
    </row>
    <row r="9" spans="1:9" x14ac:dyDescent="0.3">
      <c r="A9" s="24" t="s">
        <v>23</v>
      </c>
      <c r="B9" s="24" t="s">
        <v>38</v>
      </c>
      <c r="C9" t="s">
        <v>182</v>
      </c>
      <c r="D9">
        <v>31</v>
      </c>
      <c r="E9" t="s">
        <v>36</v>
      </c>
      <c r="F9" t="s">
        <v>171</v>
      </c>
    </row>
    <row r="10" spans="1:9" x14ac:dyDescent="0.3">
      <c r="A10" s="24" t="s">
        <v>51</v>
      </c>
      <c r="B10" s="24" t="s">
        <v>24</v>
      </c>
      <c r="C10" t="s">
        <v>183</v>
      </c>
      <c r="D10">
        <v>39</v>
      </c>
      <c r="E10" t="s">
        <v>21</v>
      </c>
      <c r="F10" t="s">
        <v>171</v>
      </c>
    </row>
    <row r="11" spans="1:9" x14ac:dyDescent="0.3">
      <c r="A11" s="24" t="s">
        <v>37</v>
      </c>
      <c r="B11" s="24" t="s">
        <v>52</v>
      </c>
      <c r="C11" t="s">
        <v>184</v>
      </c>
      <c r="D11">
        <v>42</v>
      </c>
      <c r="E11" t="s">
        <v>21</v>
      </c>
      <c r="F11" t="s">
        <v>172</v>
      </c>
    </row>
    <row r="12" spans="1:9" x14ac:dyDescent="0.3">
      <c r="A12" s="24" t="s">
        <v>23</v>
      </c>
      <c r="B12" s="24" t="s">
        <v>54</v>
      </c>
      <c r="C12" t="s">
        <v>185</v>
      </c>
      <c r="D12">
        <v>35</v>
      </c>
      <c r="E12" t="s">
        <v>21</v>
      </c>
      <c r="F12" t="s">
        <v>171</v>
      </c>
    </row>
    <row r="13" spans="1:9" x14ac:dyDescent="0.3">
      <c r="A13" s="24" t="s">
        <v>29</v>
      </c>
      <c r="B13" s="24" t="s">
        <v>24</v>
      </c>
      <c r="C13" t="s">
        <v>186</v>
      </c>
      <c r="D13">
        <v>37</v>
      </c>
      <c r="E13" t="s">
        <v>21</v>
      </c>
      <c r="F13" t="s">
        <v>171</v>
      </c>
    </row>
    <row r="14" spans="1:9" x14ac:dyDescent="0.3">
      <c r="A14" s="24" t="s">
        <v>59</v>
      </c>
      <c r="B14" s="24" t="s">
        <v>30</v>
      </c>
      <c r="C14" t="s">
        <v>187</v>
      </c>
      <c r="D14">
        <v>23</v>
      </c>
      <c r="E14" t="s">
        <v>43</v>
      </c>
      <c r="F14" t="s">
        <v>172</v>
      </c>
    </row>
    <row r="15" spans="1:9" x14ac:dyDescent="0.3">
      <c r="A15" s="24" t="s">
        <v>37</v>
      </c>
      <c r="B15" s="24" t="s">
        <v>60</v>
      </c>
      <c r="C15" t="s">
        <v>188</v>
      </c>
      <c r="D15">
        <v>27</v>
      </c>
      <c r="E15" t="s">
        <v>36</v>
      </c>
      <c r="F15" t="s">
        <v>172</v>
      </c>
      <c r="I15" s="24"/>
    </row>
    <row r="16" spans="1:9" x14ac:dyDescent="0.3">
      <c r="A16" s="24" t="s">
        <v>29</v>
      </c>
      <c r="B16" s="24" t="s">
        <v>38</v>
      </c>
      <c r="C16" t="s">
        <v>189</v>
      </c>
      <c r="D16">
        <v>36</v>
      </c>
      <c r="E16" t="s">
        <v>169</v>
      </c>
      <c r="F16" t="s">
        <v>172</v>
      </c>
    </row>
    <row r="17" spans="1:6" x14ac:dyDescent="0.3">
      <c r="A17" s="24" t="s">
        <v>23</v>
      </c>
      <c r="B17" s="24" t="s">
        <v>30</v>
      </c>
      <c r="C17" t="s">
        <v>190</v>
      </c>
      <c r="D17">
        <v>47</v>
      </c>
      <c r="E17" t="s">
        <v>21</v>
      </c>
      <c r="F17" t="s">
        <v>172</v>
      </c>
    </row>
    <row r="18" spans="1:6" x14ac:dyDescent="0.3">
      <c r="A18" s="24" t="s">
        <v>23</v>
      </c>
      <c r="B18" s="24" t="s">
        <v>24</v>
      </c>
      <c r="C18" t="s">
        <v>191</v>
      </c>
      <c r="D18">
        <v>30</v>
      </c>
      <c r="E18" t="s">
        <v>36</v>
      </c>
      <c r="F18" t="s">
        <v>172</v>
      </c>
    </row>
    <row r="19" spans="1:6" x14ac:dyDescent="0.3">
      <c r="A19" s="24" t="s">
        <v>37</v>
      </c>
      <c r="B19" s="24" t="s">
        <v>24</v>
      </c>
      <c r="C19" t="s">
        <v>192</v>
      </c>
      <c r="D19">
        <v>38</v>
      </c>
      <c r="E19" t="s">
        <v>21</v>
      </c>
      <c r="F19" t="s">
        <v>172</v>
      </c>
    </row>
    <row r="20" spans="1:6" x14ac:dyDescent="0.3">
      <c r="A20" s="24" t="s">
        <v>59</v>
      </c>
      <c r="B20" s="24" t="s">
        <v>38</v>
      </c>
      <c r="C20" t="s">
        <v>193</v>
      </c>
      <c r="D20">
        <v>19</v>
      </c>
      <c r="E20" t="s">
        <v>43</v>
      </c>
      <c r="F20" t="s">
        <v>171</v>
      </c>
    </row>
    <row r="21" spans="1:6" x14ac:dyDescent="0.3">
      <c r="A21" s="24" t="s">
        <v>23</v>
      </c>
      <c r="B21" s="24" t="s">
        <v>60</v>
      </c>
      <c r="C21" t="s">
        <v>194</v>
      </c>
      <c r="D21">
        <v>30</v>
      </c>
      <c r="E21" t="s">
        <v>36</v>
      </c>
      <c r="F21" t="s">
        <v>171</v>
      </c>
    </row>
    <row r="22" spans="1:6" x14ac:dyDescent="0.3">
      <c r="A22" s="24" t="s">
        <v>23</v>
      </c>
      <c r="B22" s="24" t="s">
        <v>72</v>
      </c>
      <c r="C22" t="s">
        <v>195</v>
      </c>
      <c r="D22">
        <v>39</v>
      </c>
      <c r="E22" t="s">
        <v>21</v>
      </c>
      <c r="F22" t="s">
        <v>171</v>
      </c>
    </row>
    <row r="23" spans="1:6" x14ac:dyDescent="0.3">
      <c r="A23" s="24" t="s">
        <v>37</v>
      </c>
      <c r="B23" s="24" t="s">
        <v>24</v>
      </c>
      <c r="C23" t="s">
        <v>196</v>
      </c>
      <c r="D23">
        <v>35</v>
      </c>
      <c r="E23" t="s">
        <v>21</v>
      </c>
      <c r="F23" t="s">
        <v>171</v>
      </c>
    </row>
    <row r="24" spans="1:6" x14ac:dyDescent="0.3">
      <c r="A24" s="24" t="s">
        <v>51</v>
      </c>
      <c r="B24" s="24" t="s">
        <v>76</v>
      </c>
      <c r="C24" t="s">
        <v>197</v>
      </c>
      <c r="D24">
        <v>33</v>
      </c>
      <c r="E24" t="s">
        <v>36</v>
      </c>
      <c r="F24" t="s">
        <v>171</v>
      </c>
    </row>
    <row r="25" spans="1:6" x14ac:dyDescent="0.3">
      <c r="A25" s="24" t="s">
        <v>23</v>
      </c>
      <c r="B25" s="24" t="s">
        <v>79</v>
      </c>
      <c r="C25" t="s">
        <v>198</v>
      </c>
      <c r="D25">
        <v>41</v>
      </c>
      <c r="E25" t="s">
        <v>21</v>
      </c>
      <c r="F25" t="s">
        <v>171</v>
      </c>
    </row>
    <row r="26" spans="1:6" x14ac:dyDescent="0.3">
      <c r="A26" s="24" t="s">
        <v>37</v>
      </c>
      <c r="B26" s="24" t="s">
        <v>24</v>
      </c>
      <c r="C26" t="s">
        <v>199</v>
      </c>
      <c r="D26">
        <v>34</v>
      </c>
      <c r="E26" t="s">
        <v>36</v>
      </c>
      <c r="F26" t="s">
        <v>171</v>
      </c>
    </row>
    <row r="27" spans="1:6" x14ac:dyDescent="0.3">
      <c r="A27" s="24" t="s">
        <v>29</v>
      </c>
      <c r="B27" s="24" t="s">
        <v>38</v>
      </c>
      <c r="C27" t="s">
        <v>200</v>
      </c>
      <c r="D27">
        <v>40</v>
      </c>
      <c r="E27" t="s">
        <v>21</v>
      </c>
      <c r="F27" t="s">
        <v>172</v>
      </c>
    </row>
    <row r="28" spans="1:6" x14ac:dyDescent="0.3">
      <c r="A28" s="24" t="s">
        <v>23</v>
      </c>
      <c r="B28" s="24" t="s">
        <v>30</v>
      </c>
      <c r="C28" t="s">
        <v>201</v>
      </c>
      <c r="D28">
        <v>26</v>
      </c>
      <c r="E28" t="s">
        <v>36</v>
      </c>
      <c r="F28" t="s">
        <v>172</v>
      </c>
    </row>
    <row r="29" spans="1:6" x14ac:dyDescent="0.3">
      <c r="A29" s="24" t="s">
        <v>23</v>
      </c>
      <c r="B29" s="24" t="s">
        <v>24</v>
      </c>
      <c r="C29" t="s">
        <v>202</v>
      </c>
      <c r="D29">
        <v>34</v>
      </c>
      <c r="E29" t="s">
        <v>36</v>
      </c>
      <c r="F29" t="s">
        <v>172</v>
      </c>
    </row>
    <row r="30" spans="1:6" x14ac:dyDescent="0.3">
      <c r="A30" s="24" t="s">
        <v>37</v>
      </c>
      <c r="B30" s="24" t="s">
        <v>47</v>
      </c>
      <c r="C30" t="s">
        <v>203</v>
      </c>
      <c r="D30">
        <v>34</v>
      </c>
      <c r="E30" t="s">
        <v>36</v>
      </c>
      <c r="F30" t="s">
        <v>171</v>
      </c>
    </row>
    <row r="31" spans="1:6" x14ac:dyDescent="0.3">
      <c r="A31" s="24" t="s">
        <v>89</v>
      </c>
      <c r="B31" s="24" t="s">
        <v>38</v>
      </c>
      <c r="C31" t="s">
        <v>204</v>
      </c>
      <c r="D31">
        <v>38</v>
      </c>
      <c r="E31" t="s">
        <v>21</v>
      </c>
      <c r="F31" t="s">
        <v>172</v>
      </c>
    </row>
    <row r="32" spans="1:6" x14ac:dyDescent="0.3">
      <c r="A32" s="24" t="s">
        <v>37</v>
      </c>
      <c r="B32" s="24" t="s">
        <v>90</v>
      </c>
      <c r="C32" t="s">
        <v>205</v>
      </c>
      <c r="D32">
        <v>24</v>
      </c>
      <c r="E32" t="s">
        <v>43</v>
      </c>
      <c r="F32" t="s">
        <v>171</v>
      </c>
    </row>
    <row r="33" spans="1:6" x14ac:dyDescent="0.3">
      <c r="A33" s="24" t="s">
        <v>59</v>
      </c>
      <c r="B33" s="24" t="s">
        <v>38</v>
      </c>
      <c r="C33" t="s">
        <v>206</v>
      </c>
      <c r="D33">
        <v>41</v>
      </c>
      <c r="E33" t="s">
        <v>21</v>
      </c>
      <c r="F33" t="s">
        <v>171</v>
      </c>
    </row>
    <row r="34" spans="1:6" x14ac:dyDescent="0.3">
      <c r="A34" s="24" t="s">
        <v>23</v>
      </c>
      <c r="B34" s="24" t="s">
        <v>60</v>
      </c>
      <c r="C34" t="s">
        <v>207</v>
      </c>
      <c r="D34">
        <v>27</v>
      </c>
      <c r="E34" t="s">
        <v>36</v>
      </c>
      <c r="F34" t="s">
        <v>172</v>
      </c>
    </row>
    <row r="35" spans="1:6" x14ac:dyDescent="0.3">
      <c r="A35" s="24" t="s">
        <v>23</v>
      </c>
      <c r="B35" s="24" t="s">
        <v>24</v>
      </c>
      <c r="C35" t="s">
        <v>208</v>
      </c>
      <c r="D35">
        <v>37</v>
      </c>
      <c r="E35" t="s">
        <v>21</v>
      </c>
      <c r="F35" t="s">
        <v>172</v>
      </c>
    </row>
    <row r="36" spans="1:6" x14ac:dyDescent="0.3">
      <c r="A36" s="24" t="s">
        <v>37</v>
      </c>
      <c r="B36" s="24" t="s">
        <v>24</v>
      </c>
      <c r="C36" t="s">
        <v>209</v>
      </c>
      <c r="D36">
        <v>38</v>
      </c>
      <c r="E36" t="s">
        <v>21</v>
      </c>
      <c r="F36" t="s">
        <v>171</v>
      </c>
    </row>
    <row r="37" spans="1:6" x14ac:dyDescent="0.3">
      <c r="A37" s="24" t="s">
        <v>23</v>
      </c>
      <c r="B37" s="24" t="s">
        <v>38</v>
      </c>
      <c r="C37" t="s">
        <v>210</v>
      </c>
      <c r="D37">
        <v>36</v>
      </c>
      <c r="E37" t="s">
        <v>21</v>
      </c>
      <c r="F37" t="s">
        <v>171</v>
      </c>
    </row>
    <row r="38" spans="1:6" x14ac:dyDescent="0.3">
      <c r="A38" s="24" t="s">
        <v>37</v>
      </c>
      <c r="B38" s="24" t="s">
        <v>24</v>
      </c>
      <c r="C38" t="s">
        <v>211</v>
      </c>
      <c r="D38">
        <v>37</v>
      </c>
      <c r="E38" t="s">
        <v>21</v>
      </c>
      <c r="F38" t="s">
        <v>172</v>
      </c>
    </row>
    <row r="39" spans="1:6" x14ac:dyDescent="0.3">
      <c r="A39" s="24" t="s">
        <v>37</v>
      </c>
      <c r="B39" s="24" t="s">
        <v>38</v>
      </c>
      <c r="C39" t="s">
        <v>212</v>
      </c>
      <c r="D39">
        <v>34</v>
      </c>
      <c r="E39" t="s">
        <v>36</v>
      </c>
      <c r="F39" t="s">
        <v>172</v>
      </c>
    </row>
    <row r="40" spans="1:6" x14ac:dyDescent="0.3">
      <c r="A40" s="24" t="s">
        <v>23</v>
      </c>
      <c r="B40" s="24" t="s">
        <v>76</v>
      </c>
      <c r="C40" t="s">
        <v>213</v>
      </c>
      <c r="D40">
        <v>35</v>
      </c>
      <c r="E40" t="s">
        <v>21</v>
      </c>
      <c r="F40" t="s">
        <v>171</v>
      </c>
    </row>
    <row r="41" spans="1:6" x14ac:dyDescent="0.3">
      <c r="A41" s="24" t="s">
        <v>37</v>
      </c>
      <c r="B41" s="24" t="s">
        <v>47</v>
      </c>
      <c r="C41" t="s">
        <v>214</v>
      </c>
      <c r="D41">
        <v>38</v>
      </c>
      <c r="E41" t="s">
        <v>21</v>
      </c>
      <c r="F41" t="s">
        <v>171</v>
      </c>
    </row>
    <row r="42" spans="1:6" x14ac:dyDescent="0.3">
      <c r="A42" s="24" t="s">
        <v>23</v>
      </c>
      <c r="B42" s="24" t="s">
        <v>54</v>
      </c>
      <c r="C42" t="s">
        <v>215</v>
      </c>
      <c r="D42">
        <v>32</v>
      </c>
      <c r="E42" t="s">
        <v>36</v>
      </c>
      <c r="F42" t="s">
        <v>171</v>
      </c>
    </row>
    <row r="43" spans="1:6" x14ac:dyDescent="0.3">
      <c r="A43" s="24" t="s">
        <v>29</v>
      </c>
      <c r="B43" s="24" t="s">
        <v>24</v>
      </c>
      <c r="C43" t="s">
        <v>216</v>
      </c>
      <c r="D43">
        <v>40</v>
      </c>
      <c r="E43" t="s">
        <v>21</v>
      </c>
      <c r="F43" t="s">
        <v>171</v>
      </c>
    </row>
    <row r="44" spans="1:6" x14ac:dyDescent="0.3">
      <c r="A44" s="24" t="s">
        <v>29</v>
      </c>
      <c r="B44" s="24" t="s">
        <v>30</v>
      </c>
      <c r="C44" t="s">
        <v>217</v>
      </c>
      <c r="D44">
        <v>44</v>
      </c>
      <c r="E44" t="s">
        <v>21</v>
      </c>
      <c r="F44" t="s">
        <v>171</v>
      </c>
    </row>
    <row r="45" spans="1:6" x14ac:dyDescent="0.3">
      <c r="A45" s="24" t="s">
        <v>23</v>
      </c>
      <c r="B45" s="24" t="s">
        <v>30</v>
      </c>
      <c r="C45" t="s">
        <v>218</v>
      </c>
      <c r="D45">
        <v>49</v>
      </c>
      <c r="E45" t="s">
        <v>21</v>
      </c>
      <c r="F45" t="s">
        <v>172</v>
      </c>
    </row>
    <row r="46" spans="1:6" x14ac:dyDescent="0.3">
      <c r="A46" s="24" t="s">
        <v>23</v>
      </c>
      <c r="B46" s="24" t="s">
        <v>47</v>
      </c>
      <c r="C46" t="s">
        <v>219</v>
      </c>
      <c r="D46">
        <v>30</v>
      </c>
      <c r="E46" t="s">
        <v>36</v>
      </c>
      <c r="F46" t="s">
        <v>171</v>
      </c>
    </row>
    <row r="47" spans="1:6" x14ac:dyDescent="0.3">
      <c r="A47" s="24" t="s">
        <v>37</v>
      </c>
      <c r="B47" s="24" t="s">
        <v>24</v>
      </c>
      <c r="C47" t="s">
        <v>220</v>
      </c>
      <c r="D47">
        <v>32</v>
      </c>
      <c r="E47" t="s">
        <v>36</v>
      </c>
      <c r="F47" t="s">
        <v>172</v>
      </c>
    </row>
    <row r="48" spans="1:6" x14ac:dyDescent="0.3">
      <c r="A48" s="24" t="s">
        <v>23</v>
      </c>
      <c r="B48" s="24" t="s">
        <v>76</v>
      </c>
      <c r="C48" t="s">
        <v>221</v>
      </c>
      <c r="D48">
        <v>32</v>
      </c>
      <c r="E48" t="s">
        <v>36</v>
      </c>
      <c r="F48" t="s">
        <v>171</v>
      </c>
    </row>
    <row r="49" spans="1:6" x14ac:dyDescent="0.3">
      <c r="A49" s="24" t="s">
        <v>37</v>
      </c>
      <c r="B49" s="24" t="s">
        <v>24</v>
      </c>
      <c r="C49" t="s">
        <v>222</v>
      </c>
      <c r="D49">
        <v>29</v>
      </c>
      <c r="E49" t="s">
        <v>36</v>
      </c>
      <c r="F49" t="s">
        <v>171</v>
      </c>
    </row>
    <row r="50" spans="1:6" x14ac:dyDescent="0.3">
      <c r="A50" s="24" t="s">
        <v>37</v>
      </c>
      <c r="B50" s="24" t="s">
        <v>38</v>
      </c>
      <c r="C50" t="s">
        <v>223</v>
      </c>
      <c r="D50">
        <v>33</v>
      </c>
      <c r="E50" t="s">
        <v>36</v>
      </c>
      <c r="F50" t="s">
        <v>171</v>
      </c>
    </row>
    <row r="51" spans="1:6" x14ac:dyDescent="0.3">
      <c r="A51" s="24" t="s">
        <v>89</v>
      </c>
      <c r="B51" s="24" t="s">
        <v>38</v>
      </c>
      <c r="C51" t="s">
        <v>224</v>
      </c>
      <c r="D51">
        <v>38</v>
      </c>
      <c r="E51" t="s">
        <v>21</v>
      </c>
      <c r="F51" t="s">
        <v>172</v>
      </c>
    </row>
    <row r="52" spans="1:6" x14ac:dyDescent="0.3">
      <c r="A52" s="24" t="s">
        <v>23</v>
      </c>
      <c r="B52" s="24" t="s">
        <v>112</v>
      </c>
      <c r="C52" t="s">
        <v>225</v>
      </c>
      <c r="D52">
        <v>27</v>
      </c>
      <c r="E52" t="s">
        <v>36</v>
      </c>
      <c r="F52" t="s">
        <v>171</v>
      </c>
    </row>
    <row r="53" spans="1:6" x14ac:dyDescent="0.3">
      <c r="A53" s="24" t="s">
        <v>37</v>
      </c>
      <c r="B53" s="24" t="s">
        <v>47</v>
      </c>
      <c r="C53" t="s">
        <v>226</v>
      </c>
      <c r="D53">
        <v>37</v>
      </c>
      <c r="E53" t="s">
        <v>21</v>
      </c>
      <c r="F53" t="s">
        <v>171</v>
      </c>
    </row>
    <row r="54" spans="1:6" x14ac:dyDescent="0.3">
      <c r="A54" s="24" t="s">
        <v>51</v>
      </c>
      <c r="B54" s="24" t="s">
        <v>38</v>
      </c>
      <c r="C54" t="s">
        <v>227</v>
      </c>
      <c r="D54">
        <v>31</v>
      </c>
      <c r="E54" t="s">
        <v>36</v>
      </c>
      <c r="F54" t="s">
        <v>172</v>
      </c>
    </row>
    <row r="55" spans="1:6" x14ac:dyDescent="0.3">
      <c r="A55" s="24" t="s">
        <v>37</v>
      </c>
      <c r="B55" s="24" t="s">
        <v>52</v>
      </c>
      <c r="C55" t="s">
        <v>228</v>
      </c>
      <c r="D55">
        <v>42</v>
      </c>
      <c r="E55" t="s">
        <v>21</v>
      </c>
      <c r="F55" t="s">
        <v>171</v>
      </c>
    </row>
    <row r="56" spans="1:6" x14ac:dyDescent="0.3">
      <c r="A56" s="24" t="s">
        <v>51</v>
      </c>
      <c r="B56" s="24" t="s">
        <v>38</v>
      </c>
      <c r="C56" t="s">
        <v>229</v>
      </c>
      <c r="D56">
        <v>35</v>
      </c>
      <c r="E56" t="s">
        <v>21</v>
      </c>
      <c r="F56" t="s">
        <v>171</v>
      </c>
    </row>
    <row r="57" spans="1:6" x14ac:dyDescent="0.3">
      <c r="A57" s="24" t="s">
        <v>89</v>
      </c>
      <c r="B57" s="24" t="s">
        <v>52</v>
      </c>
      <c r="C57" t="s">
        <v>230</v>
      </c>
      <c r="D57">
        <v>38</v>
      </c>
      <c r="E57" t="s">
        <v>21</v>
      </c>
      <c r="F57" t="s">
        <v>171</v>
      </c>
    </row>
    <row r="58" spans="1:6" x14ac:dyDescent="0.3">
      <c r="A58" s="24" t="s">
        <v>29</v>
      </c>
      <c r="B58" s="24" t="s">
        <v>120</v>
      </c>
      <c r="C58" t="s">
        <v>231</v>
      </c>
      <c r="D58">
        <v>24</v>
      </c>
      <c r="E58" t="s">
        <v>43</v>
      </c>
      <c r="F58" t="s">
        <v>171</v>
      </c>
    </row>
    <row r="59" spans="1:6" x14ac:dyDescent="0.3">
      <c r="A59" s="24" t="s">
        <v>23</v>
      </c>
      <c r="B59" s="24" t="s">
        <v>30</v>
      </c>
      <c r="C59" t="s">
        <v>232</v>
      </c>
      <c r="D59">
        <v>26</v>
      </c>
      <c r="E59" t="s">
        <v>36</v>
      </c>
      <c r="F59" t="s">
        <v>171</v>
      </c>
    </row>
    <row r="60" spans="1:6" x14ac:dyDescent="0.3">
      <c r="A60" s="24" t="s">
        <v>89</v>
      </c>
      <c r="B60" s="24" t="s">
        <v>24</v>
      </c>
      <c r="C60" t="s">
        <v>233</v>
      </c>
      <c r="D60">
        <v>39</v>
      </c>
      <c r="E60" t="s">
        <v>21</v>
      </c>
      <c r="F60" t="s">
        <v>172</v>
      </c>
    </row>
    <row r="61" spans="1:6" x14ac:dyDescent="0.3">
      <c r="A61" s="24" t="s">
        <v>23</v>
      </c>
      <c r="B61" s="24" t="s">
        <v>90</v>
      </c>
      <c r="C61" t="s">
        <v>234</v>
      </c>
      <c r="D61">
        <v>26</v>
      </c>
      <c r="E61" t="s">
        <v>36</v>
      </c>
      <c r="F61" t="s">
        <v>172</v>
      </c>
    </row>
    <row r="62" spans="1:6" x14ac:dyDescent="0.3">
      <c r="A62" s="24" t="s">
        <v>89</v>
      </c>
      <c r="B62" s="24" t="s">
        <v>47</v>
      </c>
      <c r="C62" t="s">
        <v>235</v>
      </c>
      <c r="D62">
        <v>36</v>
      </c>
      <c r="E62" t="s">
        <v>21</v>
      </c>
      <c r="F62" t="s">
        <v>172</v>
      </c>
    </row>
    <row r="63" spans="1:6" x14ac:dyDescent="0.3">
      <c r="A63" s="24" t="s">
        <v>37</v>
      </c>
      <c r="B63" s="24" t="s">
        <v>126</v>
      </c>
      <c r="C63" t="s">
        <v>236</v>
      </c>
      <c r="D63">
        <v>17</v>
      </c>
      <c r="E63" t="s">
        <v>43</v>
      </c>
      <c r="F63" t="s">
        <v>172</v>
      </c>
    </row>
    <row r="64" spans="1:6" x14ac:dyDescent="0.3">
      <c r="A64" s="24" t="s">
        <v>89</v>
      </c>
      <c r="B64" s="24" t="s">
        <v>76</v>
      </c>
      <c r="C64" t="s">
        <v>237</v>
      </c>
      <c r="D64">
        <v>19</v>
      </c>
      <c r="E64" t="s">
        <v>43</v>
      </c>
      <c r="F64" t="s">
        <v>171</v>
      </c>
    </row>
    <row r="65" spans="1:6" x14ac:dyDescent="0.3">
      <c r="A65" s="24" t="s">
        <v>23</v>
      </c>
      <c r="B65" s="24" t="s">
        <v>90</v>
      </c>
      <c r="C65" t="s">
        <v>238</v>
      </c>
      <c r="D65">
        <v>25</v>
      </c>
      <c r="E65" t="s">
        <v>36</v>
      </c>
      <c r="F65" t="s">
        <v>172</v>
      </c>
    </row>
    <row r="66" spans="1:6" x14ac:dyDescent="0.3">
      <c r="A66" s="24" t="s">
        <v>23</v>
      </c>
      <c r="B66" s="24" t="s">
        <v>72</v>
      </c>
      <c r="C66" t="s">
        <v>239</v>
      </c>
      <c r="D66">
        <v>35</v>
      </c>
      <c r="E66" t="s">
        <v>21</v>
      </c>
      <c r="F66" t="s">
        <v>171</v>
      </c>
    </row>
    <row r="67" spans="1:6" x14ac:dyDescent="0.3">
      <c r="A67" s="24" t="s">
        <v>23</v>
      </c>
      <c r="B67" s="24" t="s">
        <v>72</v>
      </c>
      <c r="C67" t="s">
        <v>240</v>
      </c>
      <c r="D67">
        <v>37</v>
      </c>
      <c r="E67" t="s">
        <v>21</v>
      </c>
      <c r="F67" t="s">
        <v>172</v>
      </c>
    </row>
    <row r="68" spans="1:6" x14ac:dyDescent="0.3">
      <c r="A68" s="24" t="s">
        <v>37</v>
      </c>
      <c r="B68" s="24" t="s">
        <v>24</v>
      </c>
      <c r="C68" t="s">
        <v>241</v>
      </c>
      <c r="D68">
        <v>39</v>
      </c>
      <c r="E68" t="s">
        <v>21</v>
      </c>
      <c r="F68" t="s">
        <v>171</v>
      </c>
    </row>
    <row r="69" spans="1:6" x14ac:dyDescent="0.3">
      <c r="A69" s="24" t="s">
        <v>37</v>
      </c>
      <c r="B69" s="24" t="s">
        <v>54</v>
      </c>
      <c r="C69" t="s">
        <v>242</v>
      </c>
      <c r="D69">
        <v>63</v>
      </c>
      <c r="E69" t="s">
        <v>21</v>
      </c>
      <c r="F69" t="s">
        <v>171</v>
      </c>
    </row>
    <row r="70" spans="1:6" x14ac:dyDescent="0.3">
      <c r="A70" s="24" t="s">
        <v>51</v>
      </c>
      <c r="B70" s="24" t="s">
        <v>136</v>
      </c>
      <c r="C70" t="s">
        <v>243</v>
      </c>
      <c r="D70">
        <v>18</v>
      </c>
      <c r="E70" t="s">
        <v>43</v>
      </c>
      <c r="F70" t="s">
        <v>172</v>
      </c>
    </row>
    <row r="71" spans="1:6" x14ac:dyDescent="0.3">
      <c r="A71" s="24" t="s">
        <v>23</v>
      </c>
      <c r="B71" s="24" t="s">
        <v>138</v>
      </c>
      <c r="C71" t="s">
        <v>244</v>
      </c>
      <c r="D71">
        <v>56</v>
      </c>
      <c r="E71" t="s">
        <v>21</v>
      </c>
      <c r="F71" t="s">
        <v>171</v>
      </c>
    </row>
    <row r="72" spans="1:6" x14ac:dyDescent="0.3">
      <c r="A72" s="24" t="s">
        <v>37</v>
      </c>
      <c r="B72" s="24" t="s">
        <v>47</v>
      </c>
      <c r="C72" t="s">
        <v>245</v>
      </c>
      <c r="D72">
        <v>39</v>
      </c>
      <c r="E72" t="s">
        <v>21</v>
      </c>
      <c r="F72" t="s">
        <v>171</v>
      </c>
    </row>
    <row r="73" spans="1:6" x14ac:dyDescent="0.3">
      <c r="A73" s="24" t="s">
        <v>37</v>
      </c>
      <c r="B73" s="24" t="s">
        <v>76</v>
      </c>
      <c r="C73" t="s">
        <v>246</v>
      </c>
      <c r="D73">
        <v>33</v>
      </c>
      <c r="E73" t="s">
        <v>36</v>
      </c>
      <c r="F73" t="s">
        <v>171</v>
      </c>
    </row>
    <row r="74" spans="1:6" x14ac:dyDescent="0.3">
      <c r="A74" s="24" t="s">
        <v>59</v>
      </c>
      <c r="B74" s="24" t="s">
        <v>54</v>
      </c>
      <c r="C74" t="s">
        <v>247</v>
      </c>
      <c r="D74">
        <v>57</v>
      </c>
      <c r="E74" t="s">
        <v>21</v>
      </c>
      <c r="F74" t="s">
        <v>172</v>
      </c>
    </row>
    <row r="75" spans="1:6" x14ac:dyDescent="0.3">
      <c r="A75" s="24" t="s">
        <v>37</v>
      </c>
      <c r="B75" s="24" t="s">
        <v>60</v>
      </c>
      <c r="C75" t="s">
        <v>248</v>
      </c>
      <c r="D75">
        <v>29</v>
      </c>
      <c r="E75" t="s">
        <v>36</v>
      </c>
      <c r="F75" t="s">
        <v>172</v>
      </c>
    </row>
    <row r="76" spans="1:6" x14ac:dyDescent="0.3">
      <c r="A76" s="24" t="s">
        <v>37</v>
      </c>
      <c r="B76" s="24" t="s">
        <v>54</v>
      </c>
      <c r="C76" t="s">
        <v>249</v>
      </c>
      <c r="D76">
        <v>35</v>
      </c>
      <c r="E76" t="s">
        <v>21</v>
      </c>
      <c r="F76" t="s">
        <v>171</v>
      </c>
    </row>
    <row r="77" spans="1:6" x14ac:dyDescent="0.3">
      <c r="A77" s="24" t="s">
        <v>89</v>
      </c>
      <c r="B77" s="24" t="s">
        <v>76</v>
      </c>
      <c r="C77" t="s">
        <v>250</v>
      </c>
      <c r="D77">
        <v>35</v>
      </c>
      <c r="E77" t="s">
        <v>21</v>
      </c>
      <c r="F77" t="s">
        <v>172</v>
      </c>
    </row>
    <row r="78" spans="1:6" x14ac:dyDescent="0.3">
      <c r="A78" s="24" t="s">
        <v>29</v>
      </c>
      <c r="B78" s="24" t="s">
        <v>147</v>
      </c>
      <c r="C78" t="s">
        <v>251</v>
      </c>
      <c r="D78">
        <v>26</v>
      </c>
      <c r="E78" t="s">
        <v>36</v>
      </c>
      <c r="F78" t="s">
        <v>172</v>
      </c>
    </row>
    <row r="79" spans="1:6" x14ac:dyDescent="0.3">
      <c r="A79" s="24" t="s">
        <v>23</v>
      </c>
      <c r="B79" s="24" t="s">
        <v>30</v>
      </c>
      <c r="C79" t="s">
        <v>252</v>
      </c>
      <c r="D79">
        <v>23</v>
      </c>
      <c r="E79" t="s">
        <v>43</v>
      </c>
      <c r="F79" t="s">
        <v>172</v>
      </c>
    </row>
    <row r="80" spans="1:6" x14ac:dyDescent="0.3">
      <c r="A80" s="24" t="s">
        <v>23</v>
      </c>
      <c r="B80" s="24" t="s">
        <v>47</v>
      </c>
      <c r="C80" t="s">
        <v>253</v>
      </c>
      <c r="D80">
        <v>30</v>
      </c>
      <c r="E80" t="s">
        <v>36</v>
      </c>
      <c r="F80" t="s">
        <v>171</v>
      </c>
    </row>
    <row r="81" spans="1:6" x14ac:dyDescent="0.3">
      <c r="A81" s="24" t="s">
        <v>37</v>
      </c>
      <c r="B81" s="24" t="s">
        <v>24</v>
      </c>
      <c r="C81" t="s">
        <v>254</v>
      </c>
      <c r="D81">
        <v>41</v>
      </c>
      <c r="E81" t="s">
        <v>21</v>
      </c>
      <c r="F81" t="s">
        <v>172</v>
      </c>
    </row>
    <row r="82" spans="1:6" x14ac:dyDescent="0.3">
      <c r="A82" s="24" t="s">
        <v>89</v>
      </c>
      <c r="B82" s="24" t="s">
        <v>38</v>
      </c>
      <c r="C82" t="s">
        <v>255</v>
      </c>
      <c r="D82">
        <v>19</v>
      </c>
      <c r="E82" t="s">
        <v>43</v>
      </c>
      <c r="F82" t="s">
        <v>171</v>
      </c>
    </row>
    <row r="83" spans="1:6" x14ac:dyDescent="0.3">
      <c r="A83" s="24" t="s">
        <v>59</v>
      </c>
      <c r="B83" s="24" t="s">
        <v>90</v>
      </c>
      <c r="C83" t="s">
        <v>256</v>
      </c>
      <c r="D83">
        <v>25</v>
      </c>
      <c r="E83" t="s">
        <v>36</v>
      </c>
      <c r="F83" t="s">
        <v>172</v>
      </c>
    </row>
    <row r="84" spans="1:6" x14ac:dyDescent="0.3">
      <c r="A84" s="24" t="s">
        <v>51</v>
      </c>
      <c r="B84" s="24" t="s">
        <v>60</v>
      </c>
      <c r="C84" t="s">
        <v>257</v>
      </c>
      <c r="D84">
        <v>27</v>
      </c>
      <c r="E84" t="s">
        <v>36</v>
      </c>
      <c r="F84" t="s">
        <v>171</v>
      </c>
    </row>
    <row r="85" spans="1:6" x14ac:dyDescent="0.3">
      <c r="A85" s="24" t="s">
        <v>23</v>
      </c>
      <c r="B85" s="24" t="s">
        <v>138</v>
      </c>
      <c r="C85" t="s">
        <v>258</v>
      </c>
      <c r="D85">
        <v>41</v>
      </c>
      <c r="E85" t="s">
        <v>21</v>
      </c>
      <c r="F85" t="s">
        <v>172</v>
      </c>
    </row>
    <row r="86" spans="1:6" x14ac:dyDescent="0.3">
      <c r="A86" s="24" t="s">
        <v>59</v>
      </c>
      <c r="B86" s="24" t="s">
        <v>72</v>
      </c>
      <c r="C86" t="s">
        <v>259</v>
      </c>
      <c r="D86">
        <v>30</v>
      </c>
      <c r="E86" t="s">
        <v>36</v>
      </c>
      <c r="F86" t="s">
        <v>171</v>
      </c>
    </row>
    <row r="87" spans="1:6" x14ac:dyDescent="0.3">
      <c r="A87" s="24" t="s">
        <v>23</v>
      </c>
      <c r="B87" s="24" t="s">
        <v>60</v>
      </c>
      <c r="C87" t="s">
        <v>260</v>
      </c>
      <c r="D87">
        <v>31</v>
      </c>
      <c r="E87" t="s">
        <v>36</v>
      </c>
      <c r="F87" t="s">
        <v>171</v>
      </c>
    </row>
    <row r="88" spans="1:6" x14ac:dyDescent="0.3">
      <c r="A88" s="24" t="s">
        <v>37</v>
      </c>
      <c r="B88" s="24" t="s">
        <v>24</v>
      </c>
      <c r="C88" t="s">
        <v>261</v>
      </c>
      <c r="D88">
        <v>35</v>
      </c>
      <c r="E88" t="s">
        <v>21</v>
      </c>
      <c r="F88" t="s">
        <v>171</v>
      </c>
    </row>
    <row r="89" spans="1:6" x14ac:dyDescent="0.3">
      <c r="A89" s="24" t="s">
        <v>37</v>
      </c>
      <c r="B89" s="24" t="s">
        <v>54</v>
      </c>
      <c r="C89" t="s">
        <v>262</v>
      </c>
      <c r="D89">
        <v>38</v>
      </c>
      <c r="E89" t="s">
        <v>21</v>
      </c>
      <c r="F89" t="s">
        <v>172</v>
      </c>
    </row>
  </sheetData>
  <phoneticPr fontId="18" type="noConversion"/>
  <conditionalFormatting sqref="A1:A89 C1:C89">
    <cfRule type="containsBlanks" dxfId="19" priority="5">
      <formula>LEN(TRIM(A1))=0</formula>
    </cfRule>
  </conditionalFormatting>
  <conditionalFormatting sqref="A1:A89 C1:C89">
    <cfRule type="containsText" dxfId="18" priority="6" operator="containsText" text="Sales_Order #">
      <formula>NOT(ISERROR(SEARCH("Sales_Order #",A1)))</formula>
    </cfRule>
  </conditionalFormatting>
  <conditionalFormatting sqref="D1:D89">
    <cfRule type="containsText" dxfId="17" priority="4" operator="containsText" text="Sales_Order #">
      <formula>NOT(ISERROR(SEARCH("Sales_Order #",D1)))</formula>
    </cfRule>
  </conditionalFormatting>
  <conditionalFormatting sqref="D1:D89">
    <cfRule type="containsBlanks" dxfId="16" priority="3">
      <formula>LEN(TRIM(D1))=0</formula>
    </cfRule>
  </conditionalFormatting>
  <conditionalFormatting sqref="B1:B89">
    <cfRule type="containsBlanks" dxfId="15" priority="1">
      <formula>LEN(TRIM(B1))=0</formula>
    </cfRule>
  </conditionalFormatting>
  <conditionalFormatting sqref="B1:B89">
    <cfRule type="containsText" dxfId="14" priority="2" operator="containsText" text="Sales_Order #">
      <formula>NOT(ISERROR(SEARCH("Sales_Order #",B1)))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F02D-162B-46F1-BFCD-7E33526C7912}">
  <dimension ref="A1:F89"/>
  <sheetViews>
    <sheetView workbookViewId="0">
      <selection activeCell="H7" sqref="H7"/>
    </sheetView>
  </sheetViews>
  <sheetFormatPr defaultRowHeight="14.4" x14ac:dyDescent="0.3"/>
  <cols>
    <col min="1" max="1" width="18.109375" style="24" customWidth="1"/>
    <col min="2" max="2" width="16.5546875" style="24" customWidth="1"/>
    <col min="3" max="3" width="12.109375" customWidth="1"/>
    <col min="4" max="4" width="27.5546875" style="24" customWidth="1"/>
    <col min="5" max="5" width="12.109375" style="24" customWidth="1"/>
    <col min="6" max="6" width="9.109375" style="24" customWidth="1"/>
    <col min="12" max="12" width="10.44140625" customWidth="1"/>
  </cols>
  <sheetData>
    <row r="1" spans="1:6" s="32" customFormat="1" x14ac:dyDescent="0.3">
      <c r="A1" s="25" t="s">
        <v>10</v>
      </c>
      <c r="B1" s="25" t="s">
        <v>11</v>
      </c>
      <c r="C1" s="31" t="s">
        <v>263</v>
      </c>
      <c r="D1" s="27" t="s">
        <v>168</v>
      </c>
      <c r="E1" s="27" t="s">
        <v>166</v>
      </c>
      <c r="F1" s="27" t="s">
        <v>167</v>
      </c>
    </row>
    <row r="2" spans="1:6" x14ac:dyDescent="0.3">
      <c r="A2" s="24" t="s">
        <v>25</v>
      </c>
      <c r="B2" s="24" t="s">
        <v>26</v>
      </c>
      <c r="C2" t="s">
        <v>264</v>
      </c>
      <c r="D2" s="28" t="s">
        <v>160</v>
      </c>
      <c r="E2" s="28" t="s">
        <v>161</v>
      </c>
      <c r="F2" s="28">
        <v>46</v>
      </c>
    </row>
    <row r="3" spans="1:6" x14ac:dyDescent="0.3">
      <c r="A3" s="24" t="s">
        <v>25</v>
      </c>
      <c r="B3" s="24" t="s">
        <v>26</v>
      </c>
      <c r="C3" t="s">
        <v>265</v>
      </c>
      <c r="D3" s="28" t="s">
        <v>160</v>
      </c>
      <c r="E3" s="28" t="s">
        <v>162</v>
      </c>
      <c r="F3" s="28">
        <v>42</v>
      </c>
    </row>
    <row r="4" spans="1:6" x14ac:dyDescent="0.3">
      <c r="A4" s="24" t="s">
        <v>25</v>
      </c>
      <c r="B4" s="24" t="s">
        <v>26</v>
      </c>
      <c r="C4" t="s">
        <v>266</v>
      </c>
      <c r="D4" s="28" t="s">
        <v>163</v>
      </c>
      <c r="E4" s="28" t="s">
        <v>162</v>
      </c>
      <c r="F4" s="28">
        <v>46</v>
      </c>
    </row>
    <row r="5" spans="1:6" x14ac:dyDescent="0.3">
      <c r="A5" s="24" t="s">
        <v>25</v>
      </c>
      <c r="B5" s="24" t="s">
        <v>26</v>
      </c>
      <c r="C5" t="s">
        <v>267</v>
      </c>
      <c r="D5" s="28" t="s">
        <v>163</v>
      </c>
      <c r="E5" s="28" t="s">
        <v>162</v>
      </c>
      <c r="F5" s="28">
        <v>42</v>
      </c>
    </row>
    <row r="6" spans="1:6" x14ac:dyDescent="0.3">
      <c r="A6" s="24" t="s">
        <v>25</v>
      </c>
      <c r="B6" s="24" t="s">
        <v>26</v>
      </c>
      <c r="C6" t="s">
        <v>268</v>
      </c>
      <c r="D6" s="28" t="s">
        <v>160</v>
      </c>
      <c r="E6" s="28" t="s">
        <v>161</v>
      </c>
      <c r="F6" s="28">
        <v>46</v>
      </c>
    </row>
    <row r="7" spans="1:6" x14ac:dyDescent="0.3">
      <c r="A7" s="24" t="s">
        <v>25</v>
      </c>
      <c r="B7" s="24" t="s">
        <v>26</v>
      </c>
      <c r="C7" t="s">
        <v>269</v>
      </c>
      <c r="D7" s="28" t="s">
        <v>160</v>
      </c>
      <c r="E7" s="28" t="s">
        <v>161</v>
      </c>
      <c r="F7" s="28">
        <v>38</v>
      </c>
    </row>
    <row r="8" spans="1:6" x14ac:dyDescent="0.3">
      <c r="A8" s="26" t="s">
        <v>25</v>
      </c>
      <c r="B8" s="26" t="s">
        <v>26</v>
      </c>
      <c r="C8" t="s">
        <v>270</v>
      </c>
      <c r="D8" s="29" t="s">
        <v>160</v>
      </c>
      <c r="E8" s="29" t="s">
        <v>161</v>
      </c>
      <c r="F8" s="29">
        <v>46</v>
      </c>
    </row>
    <row r="9" spans="1:6" x14ac:dyDescent="0.3">
      <c r="A9" s="24" t="s">
        <v>25</v>
      </c>
      <c r="B9" s="24" t="s">
        <v>26</v>
      </c>
      <c r="C9" t="s">
        <v>271</v>
      </c>
      <c r="D9" s="28" t="s">
        <v>163</v>
      </c>
      <c r="E9" s="28" t="s">
        <v>162</v>
      </c>
      <c r="F9" s="28">
        <v>42</v>
      </c>
    </row>
    <row r="10" spans="1:6" x14ac:dyDescent="0.3">
      <c r="A10" s="24" t="s">
        <v>25</v>
      </c>
      <c r="B10" s="24" t="s">
        <v>26</v>
      </c>
      <c r="C10" t="s">
        <v>272</v>
      </c>
      <c r="D10" s="28" t="s">
        <v>160</v>
      </c>
      <c r="E10" s="28" t="s">
        <v>161</v>
      </c>
      <c r="F10" s="28">
        <v>46</v>
      </c>
    </row>
    <row r="11" spans="1:6" x14ac:dyDescent="0.3">
      <c r="A11" s="24" t="s">
        <v>25</v>
      </c>
      <c r="B11" s="24" t="s">
        <v>26</v>
      </c>
      <c r="C11" t="s">
        <v>273</v>
      </c>
      <c r="D11" s="28" t="s">
        <v>160</v>
      </c>
      <c r="E11" s="28" t="s">
        <v>161</v>
      </c>
      <c r="F11" s="28">
        <v>38</v>
      </c>
    </row>
    <row r="12" spans="1:6" x14ac:dyDescent="0.3">
      <c r="A12" s="24" t="s">
        <v>25</v>
      </c>
      <c r="B12" s="24" t="s">
        <v>26</v>
      </c>
      <c r="C12" t="s">
        <v>274</v>
      </c>
      <c r="D12" s="28" t="s">
        <v>160</v>
      </c>
      <c r="E12" s="28" t="s">
        <v>162</v>
      </c>
      <c r="F12" s="28">
        <v>38</v>
      </c>
    </row>
    <row r="13" spans="1:6" x14ac:dyDescent="0.3">
      <c r="A13" s="24" t="s">
        <v>25</v>
      </c>
      <c r="B13" s="24" t="s">
        <v>26</v>
      </c>
      <c r="C13" t="s">
        <v>275</v>
      </c>
      <c r="D13" s="28" t="s">
        <v>160</v>
      </c>
      <c r="E13" s="28" t="s">
        <v>161</v>
      </c>
      <c r="F13" s="28">
        <v>46</v>
      </c>
    </row>
    <row r="14" spans="1:6" x14ac:dyDescent="0.3">
      <c r="A14" s="24" t="s">
        <v>25</v>
      </c>
      <c r="B14" s="24" t="s">
        <v>26</v>
      </c>
      <c r="C14" t="s">
        <v>276</v>
      </c>
      <c r="D14" s="28" t="s">
        <v>163</v>
      </c>
      <c r="E14" s="28" t="s">
        <v>162</v>
      </c>
      <c r="F14" s="28">
        <v>46</v>
      </c>
    </row>
    <row r="15" spans="1:6" x14ac:dyDescent="0.3">
      <c r="A15" s="24" t="s">
        <v>25</v>
      </c>
      <c r="B15" s="24" t="s">
        <v>26</v>
      </c>
      <c r="C15" t="s">
        <v>277</v>
      </c>
      <c r="D15" s="28" t="s">
        <v>160</v>
      </c>
      <c r="E15" s="28" t="s">
        <v>161</v>
      </c>
      <c r="F15" s="28">
        <v>46</v>
      </c>
    </row>
    <row r="16" spans="1:6" x14ac:dyDescent="0.3">
      <c r="A16" s="24" t="s">
        <v>25</v>
      </c>
      <c r="B16" s="24" t="s">
        <v>26</v>
      </c>
      <c r="C16" t="s">
        <v>278</v>
      </c>
      <c r="D16" s="28" t="s">
        <v>160</v>
      </c>
      <c r="E16" s="28" t="s">
        <v>161</v>
      </c>
      <c r="F16" s="28">
        <v>42</v>
      </c>
    </row>
    <row r="17" spans="1:6" x14ac:dyDescent="0.3">
      <c r="A17" s="24" t="s">
        <v>25</v>
      </c>
      <c r="B17" s="24" t="s">
        <v>26</v>
      </c>
      <c r="C17" t="s">
        <v>279</v>
      </c>
      <c r="D17" s="28" t="s">
        <v>160</v>
      </c>
      <c r="E17" s="28" t="s">
        <v>162</v>
      </c>
      <c r="F17" s="28">
        <v>38</v>
      </c>
    </row>
    <row r="18" spans="1:6" x14ac:dyDescent="0.3">
      <c r="A18" s="24" t="s">
        <v>25</v>
      </c>
      <c r="B18" s="24" t="s">
        <v>26</v>
      </c>
      <c r="C18" t="s">
        <v>280</v>
      </c>
      <c r="D18" s="28" t="s">
        <v>163</v>
      </c>
      <c r="E18" s="28" t="s">
        <v>162</v>
      </c>
      <c r="F18" s="28">
        <v>38</v>
      </c>
    </row>
    <row r="19" spans="1:6" x14ac:dyDescent="0.3">
      <c r="A19" s="24" t="s">
        <v>25</v>
      </c>
      <c r="B19" s="24" t="s">
        <v>26</v>
      </c>
      <c r="C19" t="s">
        <v>281</v>
      </c>
      <c r="D19" s="28" t="s">
        <v>160</v>
      </c>
      <c r="E19" s="28" t="s">
        <v>162</v>
      </c>
      <c r="F19" s="28">
        <v>42</v>
      </c>
    </row>
    <row r="20" spans="1:6" x14ac:dyDescent="0.3">
      <c r="A20" s="24" t="s">
        <v>25</v>
      </c>
      <c r="B20" s="24" t="s">
        <v>26</v>
      </c>
      <c r="C20" t="s">
        <v>282</v>
      </c>
      <c r="D20" s="28" t="s">
        <v>164</v>
      </c>
      <c r="E20" s="28" t="s">
        <v>162</v>
      </c>
      <c r="F20" s="28">
        <v>42</v>
      </c>
    </row>
    <row r="21" spans="1:6" x14ac:dyDescent="0.3">
      <c r="A21" s="24" t="s">
        <v>25</v>
      </c>
      <c r="B21" s="24" t="s">
        <v>26</v>
      </c>
      <c r="C21" t="s">
        <v>283</v>
      </c>
      <c r="D21" s="28" t="s">
        <v>160</v>
      </c>
      <c r="E21" s="28" t="s">
        <v>162</v>
      </c>
      <c r="F21" s="28">
        <v>38</v>
      </c>
    </row>
    <row r="22" spans="1:6" x14ac:dyDescent="0.3">
      <c r="A22" s="24" t="s">
        <v>25</v>
      </c>
      <c r="B22" s="24" t="s">
        <v>26</v>
      </c>
      <c r="C22" t="s">
        <v>284</v>
      </c>
      <c r="D22" s="28" t="s">
        <v>160</v>
      </c>
      <c r="E22" s="28" t="s">
        <v>161</v>
      </c>
      <c r="F22" s="28">
        <v>42</v>
      </c>
    </row>
    <row r="23" spans="1:6" x14ac:dyDescent="0.3">
      <c r="A23" s="24" t="s">
        <v>25</v>
      </c>
      <c r="B23" s="24" t="s">
        <v>26</v>
      </c>
      <c r="C23" t="s">
        <v>285</v>
      </c>
      <c r="D23" s="28" t="s">
        <v>164</v>
      </c>
      <c r="E23" s="28" t="s">
        <v>161</v>
      </c>
      <c r="F23" s="28">
        <v>42</v>
      </c>
    </row>
    <row r="24" spans="1:6" x14ac:dyDescent="0.3">
      <c r="A24" s="24" t="s">
        <v>25</v>
      </c>
      <c r="B24" s="24" t="s">
        <v>26</v>
      </c>
      <c r="C24" t="s">
        <v>286</v>
      </c>
      <c r="D24" s="28" t="s">
        <v>165</v>
      </c>
      <c r="E24" s="28" t="s">
        <v>161</v>
      </c>
      <c r="F24" s="28">
        <v>38</v>
      </c>
    </row>
    <row r="25" spans="1:6" x14ac:dyDescent="0.3">
      <c r="A25" s="24" t="s">
        <v>25</v>
      </c>
      <c r="B25" s="24" t="s">
        <v>26</v>
      </c>
      <c r="C25" t="s">
        <v>287</v>
      </c>
      <c r="D25" s="28" t="s">
        <v>160</v>
      </c>
      <c r="E25" s="28" t="s">
        <v>162</v>
      </c>
      <c r="F25" s="28">
        <v>42</v>
      </c>
    </row>
    <row r="26" spans="1:6" x14ac:dyDescent="0.3">
      <c r="A26" s="24" t="s">
        <v>25</v>
      </c>
      <c r="B26" s="24" t="s">
        <v>26</v>
      </c>
      <c r="C26" t="s">
        <v>288</v>
      </c>
      <c r="D26" s="28" t="s">
        <v>160</v>
      </c>
      <c r="E26" s="28" t="s">
        <v>161</v>
      </c>
      <c r="F26" s="28">
        <v>42</v>
      </c>
    </row>
    <row r="27" spans="1:6" x14ac:dyDescent="0.3">
      <c r="A27" s="24" t="s">
        <v>25</v>
      </c>
      <c r="B27" s="24" t="s">
        <v>26</v>
      </c>
      <c r="C27" t="s">
        <v>289</v>
      </c>
      <c r="D27" s="28" t="s">
        <v>160</v>
      </c>
      <c r="E27" s="28" t="s">
        <v>161</v>
      </c>
      <c r="F27" s="28">
        <v>42</v>
      </c>
    </row>
    <row r="28" spans="1:6" x14ac:dyDescent="0.3">
      <c r="A28" s="24" t="s">
        <v>25</v>
      </c>
      <c r="B28" s="24" t="s">
        <v>26</v>
      </c>
      <c r="C28" t="s">
        <v>290</v>
      </c>
      <c r="D28" s="28" t="s">
        <v>160</v>
      </c>
      <c r="E28" s="28" t="s">
        <v>161</v>
      </c>
      <c r="F28" s="28">
        <v>38</v>
      </c>
    </row>
    <row r="29" spans="1:6" x14ac:dyDescent="0.3">
      <c r="A29" s="24" t="s">
        <v>25</v>
      </c>
      <c r="B29" s="24" t="s">
        <v>26</v>
      </c>
      <c r="C29" t="s">
        <v>291</v>
      </c>
      <c r="D29" s="28" t="s">
        <v>164</v>
      </c>
      <c r="E29" s="28" t="s">
        <v>161</v>
      </c>
      <c r="F29" s="28">
        <v>40</v>
      </c>
    </row>
    <row r="30" spans="1:6" x14ac:dyDescent="0.3">
      <c r="A30" s="24" t="s">
        <v>25</v>
      </c>
      <c r="B30" s="24" t="s">
        <v>26</v>
      </c>
      <c r="C30" t="s">
        <v>292</v>
      </c>
      <c r="D30" s="28" t="s">
        <v>165</v>
      </c>
      <c r="E30" s="28" t="s">
        <v>162</v>
      </c>
      <c r="F30" s="28">
        <v>44</v>
      </c>
    </row>
    <row r="31" spans="1:6" x14ac:dyDescent="0.3">
      <c r="A31" s="24" t="s">
        <v>25</v>
      </c>
      <c r="B31" s="24" t="s">
        <v>26</v>
      </c>
      <c r="C31" t="s">
        <v>293</v>
      </c>
      <c r="D31" s="28" t="s">
        <v>160</v>
      </c>
      <c r="E31" s="28" t="s">
        <v>161</v>
      </c>
      <c r="F31" s="28">
        <v>38</v>
      </c>
    </row>
    <row r="32" spans="1:6" x14ac:dyDescent="0.3">
      <c r="A32" s="24" t="s">
        <v>25</v>
      </c>
      <c r="B32" s="24" t="s">
        <v>26</v>
      </c>
      <c r="C32" t="s">
        <v>294</v>
      </c>
      <c r="D32" s="28" t="s">
        <v>160</v>
      </c>
      <c r="E32" s="28" t="s">
        <v>161</v>
      </c>
      <c r="F32" s="28">
        <v>38</v>
      </c>
    </row>
    <row r="33" spans="1:6" x14ac:dyDescent="0.3">
      <c r="A33" s="24" t="s">
        <v>25</v>
      </c>
      <c r="B33" s="24" t="s">
        <v>26</v>
      </c>
      <c r="C33" t="s">
        <v>295</v>
      </c>
      <c r="D33" s="28" t="s">
        <v>163</v>
      </c>
      <c r="E33" s="28" t="s">
        <v>162</v>
      </c>
      <c r="F33" s="28">
        <v>38</v>
      </c>
    </row>
    <row r="34" spans="1:6" x14ac:dyDescent="0.3">
      <c r="A34" s="24" t="s">
        <v>25</v>
      </c>
      <c r="B34" s="24" t="s">
        <v>26</v>
      </c>
      <c r="C34" t="s">
        <v>296</v>
      </c>
      <c r="D34" s="28" t="s">
        <v>160</v>
      </c>
      <c r="E34" s="28" t="s">
        <v>161</v>
      </c>
      <c r="F34" s="28">
        <v>46</v>
      </c>
    </row>
    <row r="35" spans="1:6" x14ac:dyDescent="0.3">
      <c r="A35" s="24" t="s">
        <v>25</v>
      </c>
      <c r="B35" s="24" t="s">
        <v>26</v>
      </c>
      <c r="C35" t="s">
        <v>297</v>
      </c>
      <c r="D35" s="28" t="s">
        <v>163</v>
      </c>
      <c r="E35" s="28" t="s">
        <v>162</v>
      </c>
      <c r="F35" s="28">
        <v>46</v>
      </c>
    </row>
    <row r="36" spans="1:6" x14ac:dyDescent="0.3">
      <c r="A36" s="24" t="s">
        <v>25</v>
      </c>
      <c r="B36" s="24" t="s">
        <v>26</v>
      </c>
      <c r="C36" t="s">
        <v>298</v>
      </c>
      <c r="D36" s="28" t="s">
        <v>160</v>
      </c>
      <c r="E36" s="28" t="s">
        <v>162</v>
      </c>
      <c r="F36" s="28">
        <v>38</v>
      </c>
    </row>
    <row r="37" spans="1:6" x14ac:dyDescent="0.3">
      <c r="A37" s="24" t="s">
        <v>25</v>
      </c>
      <c r="B37" s="24" t="s">
        <v>26</v>
      </c>
      <c r="C37" t="s">
        <v>299</v>
      </c>
      <c r="D37" s="28" t="s">
        <v>160</v>
      </c>
      <c r="E37" s="28" t="s">
        <v>162</v>
      </c>
      <c r="F37" s="28">
        <v>42</v>
      </c>
    </row>
    <row r="38" spans="1:6" x14ac:dyDescent="0.3">
      <c r="A38" s="24" t="s">
        <v>25</v>
      </c>
      <c r="B38" s="24" t="s">
        <v>26</v>
      </c>
      <c r="C38" t="s">
        <v>300</v>
      </c>
      <c r="D38" s="28" t="s">
        <v>163</v>
      </c>
      <c r="E38" s="28" t="s">
        <v>162</v>
      </c>
      <c r="F38" s="28">
        <v>46</v>
      </c>
    </row>
    <row r="39" spans="1:6" x14ac:dyDescent="0.3">
      <c r="A39" s="24" t="s">
        <v>25</v>
      </c>
      <c r="B39" s="24" t="s">
        <v>26</v>
      </c>
      <c r="C39" t="s">
        <v>301</v>
      </c>
      <c r="D39" s="28" t="s">
        <v>160</v>
      </c>
      <c r="E39" s="28" t="s">
        <v>161</v>
      </c>
      <c r="F39" s="28">
        <v>38</v>
      </c>
    </row>
    <row r="40" spans="1:6" x14ac:dyDescent="0.3">
      <c r="A40" s="24" t="s">
        <v>25</v>
      </c>
      <c r="B40" s="24" t="s">
        <v>26</v>
      </c>
      <c r="C40" t="s">
        <v>302</v>
      </c>
      <c r="D40" s="28" t="s">
        <v>160</v>
      </c>
      <c r="E40" s="28" t="s">
        <v>162</v>
      </c>
      <c r="F40" s="28">
        <v>42</v>
      </c>
    </row>
    <row r="41" spans="1:6" x14ac:dyDescent="0.3">
      <c r="A41" s="24" t="s">
        <v>25</v>
      </c>
      <c r="B41" s="24" t="s">
        <v>26</v>
      </c>
      <c r="C41" t="s">
        <v>303</v>
      </c>
      <c r="D41" s="28" t="s">
        <v>160</v>
      </c>
      <c r="E41" s="28" t="s">
        <v>162</v>
      </c>
      <c r="F41" s="28">
        <v>42</v>
      </c>
    </row>
    <row r="42" spans="1:6" x14ac:dyDescent="0.3">
      <c r="A42" s="24" t="s">
        <v>25</v>
      </c>
      <c r="B42" s="24" t="s">
        <v>26</v>
      </c>
      <c r="C42" t="s">
        <v>304</v>
      </c>
      <c r="D42" s="28" t="s">
        <v>160</v>
      </c>
      <c r="E42" s="28" t="s">
        <v>162</v>
      </c>
      <c r="F42" s="28">
        <v>42</v>
      </c>
    </row>
    <row r="43" spans="1:6" x14ac:dyDescent="0.3">
      <c r="A43" s="24" t="s">
        <v>25</v>
      </c>
      <c r="B43" s="24" t="s">
        <v>26</v>
      </c>
      <c r="C43" t="s">
        <v>305</v>
      </c>
      <c r="D43" s="28" t="s">
        <v>164</v>
      </c>
      <c r="E43" s="28" t="s">
        <v>162</v>
      </c>
      <c r="F43" s="28">
        <v>40</v>
      </c>
    </row>
    <row r="44" spans="1:6" x14ac:dyDescent="0.3">
      <c r="A44" s="24" t="s">
        <v>25</v>
      </c>
      <c r="B44" s="24" t="s">
        <v>26</v>
      </c>
      <c r="C44" t="s">
        <v>306</v>
      </c>
      <c r="D44" s="28" t="s">
        <v>160</v>
      </c>
      <c r="E44" s="28" t="s">
        <v>161</v>
      </c>
      <c r="F44" s="28">
        <v>38</v>
      </c>
    </row>
    <row r="45" spans="1:6" x14ac:dyDescent="0.3">
      <c r="A45" s="24" t="s">
        <v>25</v>
      </c>
      <c r="B45" s="24" t="s">
        <v>26</v>
      </c>
      <c r="C45" t="s">
        <v>307</v>
      </c>
      <c r="D45" s="28" t="s">
        <v>160</v>
      </c>
      <c r="E45" s="28" t="s">
        <v>161</v>
      </c>
      <c r="F45" s="28">
        <v>38</v>
      </c>
    </row>
    <row r="46" spans="1:6" x14ac:dyDescent="0.3">
      <c r="A46" s="24" t="s">
        <v>25</v>
      </c>
      <c r="B46" s="24" t="s">
        <v>26</v>
      </c>
      <c r="C46" t="s">
        <v>308</v>
      </c>
      <c r="D46" s="28" t="s">
        <v>160</v>
      </c>
      <c r="E46" s="28" t="s">
        <v>162</v>
      </c>
      <c r="F46" s="28">
        <v>38</v>
      </c>
    </row>
    <row r="47" spans="1:6" x14ac:dyDescent="0.3">
      <c r="A47" s="24" t="s">
        <v>25</v>
      </c>
      <c r="B47" s="24" t="s">
        <v>26</v>
      </c>
      <c r="C47" t="s">
        <v>309</v>
      </c>
      <c r="D47" s="28" t="s">
        <v>160</v>
      </c>
      <c r="E47" s="28" t="s">
        <v>161</v>
      </c>
      <c r="F47" s="28">
        <v>46</v>
      </c>
    </row>
    <row r="48" spans="1:6" x14ac:dyDescent="0.3">
      <c r="A48" s="24" t="s">
        <v>25</v>
      </c>
      <c r="B48" s="24" t="s">
        <v>26</v>
      </c>
      <c r="C48" t="s">
        <v>310</v>
      </c>
      <c r="D48" s="28" t="s">
        <v>163</v>
      </c>
      <c r="E48" s="28" t="s">
        <v>162</v>
      </c>
      <c r="F48" s="28">
        <v>46</v>
      </c>
    </row>
    <row r="49" spans="1:6" x14ac:dyDescent="0.3">
      <c r="A49" s="24" t="s">
        <v>25</v>
      </c>
      <c r="B49" s="24" t="s">
        <v>26</v>
      </c>
      <c r="C49" t="s">
        <v>311</v>
      </c>
      <c r="D49" s="28" t="s">
        <v>160</v>
      </c>
      <c r="E49" s="28" t="s">
        <v>162</v>
      </c>
      <c r="F49" s="28">
        <v>42</v>
      </c>
    </row>
    <row r="50" spans="1:6" x14ac:dyDescent="0.3">
      <c r="A50" s="24" t="s">
        <v>25</v>
      </c>
      <c r="B50" s="24" t="s">
        <v>26</v>
      </c>
      <c r="C50" t="s">
        <v>312</v>
      </c>
      <c r="D50" s="28" t="s">
        <v>160</v>
      </c>
      <c r="E50" s="28" t="s">
        <v>161</v>
      </c>
      <c r="F50" s="28">
        <v>38</v>
      </c>
    </row>
    <row r="51" spans="1:6" x14ac:dyDescent="0.3">
      <c r="A51" s="24" t="s">
        <v>25</v>
      </c>
      <c r="B51" s="24" t="s">
        <v>26</v>
      </c>
      <c r="C51" t="s">
        <v>313</v>
      </c>
      <c r="D51" s="28" t="s">
        <v>160</v>
      </c>
      <c r="E51" s="28" t="s">
        <v>161</v>
      </c>
      <c r="F51" s="28">
        <v>38</v>
      </c>
    </row>
    <row r="52" spans="1:6" x14ac:dyDescent="0.3">
      <c r="A52" s="24" t="s">
        <v>25</v>
      </c>
      <c r="B52" s="24" t="s">
        <v>26</v>
      </c>
      <c r="C52" t="s">
        <v>314</v>
      </c>
      <c r="D52" s="28" t="s">
        <v>160</v>
      </c>
      <c r="E52" s="28" t="s">
        <v>162</v>
      </c>
      <c r="F52" s="28">
        <v>46</v>
      </c>
    </row>
    <row r="53" spans="1:6" x14ac:dyDescent="0.3">
      <c r="A53" s="24" t="s">
        <v>25</v>
      </c>
      <c r="B53" s="24" t="s">
        <v>26</v>
      </c>
      <c r="C53" t="s">
        <v>315</v>
      </c>
      <c r="D53" s="28" t="s">
        <v>160</v>
      </c>
      <c r="E53" s="28" t="s">
        <v>162</v>
      </c>
      <c r="F53" s="28">
        <v>38</v>
      </c>
    </row>
    <row r="54" spans="1:6" x14ac:dyDescent="0.3">
      <c r="A54" s="24" t="s">
        <v>25</v>
      </c>
      <c r="B54" s="24" t="s">
        <v>26</v>
      </c>
      <c r="C54" t="s">
        <v>316</v>
      </c>
      <c r="D54" s="28" t="s">
        <v>163</v>
      </c>
      <c r="E54" s="28" t="s">
        <v>162</v>
      </c>
      <c r="F54" s="28">
        <v>42</v>
      </c>
    </row>
    <row r="55" spans="1:6" x14ac:dyDescent="0.3">
      <c r="A55" s="24" t="s">
        <v>25</v>
      </c>
      <c r="B55" s="24" t="s">
        <v>26</v>
      </c>
      <c r="C55" t="s">
        <v>317</v>
      </c>
      <c r="D55" s="28" t="s">
        <v>160</v>
      </c>
      <c r="E55" s="28" t="s">
        <v>162</v>
      </c>
      <c r="F55" s="28">
        <v>46</v>
      </c>
    </row>
    <row r="56" spans="1:6" x14ac:dyDescent="0.3">
      <c r="A56" s="24" t="s">
        <v>25</v>
      </c>
      <c r="B56" s="24" t="s">
        <v>26</v>
      </c>
      <c r="C56" t="s">
        <v>318</v>
      </c>
      <c r="D56" s="28" t="s">
        <v>164</v>
      </c>
      <c r="E56" s="28" t="s">
        <v>162</v>
      </c>
      <c r="F56" s="28">
        <v>42</v>
      </c>
    </row>
    <row r="57" spans="1:6" x14ac:dyDescent="0.3">
      <c r="A57" s="24" t="s">
        <v>25</v>
      </c>
      <c r="B57" s="24" t="s">
        <v>26</v>
      </c>
      <c r="C57" t="s">
        <v>319</v>
      </c>
      <c r="D57" s="28" t="s">
        <v>160</v>
      </c>
      <c r="E57" s="28" t="s">
        <v>162</v>
      </c>
      <c r="F57" s="28">
        <v>46</v>
      </c>
    </row>
    <row r="58" spans="1:6" x14ac:dyDescent="0.3">
      <c r="A58" s="24" t="s">
        <v>25</v>
      </c>
      <c r="B58" s="24" t="s">
        <v>26</v>
      </c>
      <c r="C58" t="s">
        <v>320</v>
      </c>
      <c r="D58" s="28" t="s">
        <v>160</v>
      </c>
      <c r="E58" s="28" t="s">
        <v>162</v>
      </c>
      <c r="F58" s="28">
        <v>38</v>
      </c>
    </row>
    <row r="59" spans="1:6" x14ac:dyDescent="0.3">
      <c r="A59" s="24" t="s">
        <v>25</v>
      </c>
      <c r="B59" s="24" t="s">
        <v>26</v>
      </c>
      <c r="C59" t="s">
        <v>321</v>
      </c>
      <c r="D59" s="28" t="s">
        <v>163</v>
      </c>
      <c r="E59" s="28" t="s">
        <v>162</v>
      </c>
      <c r="F59" s="28">
        <v>42</v>
      </c>
    </row>
    <row r="60" spans="1:6" x14ac:dyDescent="0.3">
      <c r="A60" s="24" t="s">
        <v>25</v>
      </c>
      <c r="B60" s="24" t="s">
        <v>26</v>
      </c>
      <c r="C60" t="s">
        <v>322</v>
      </c>
      <c r="D60" s="28" t="s">
        <v>160</v>
      </c>
      <c r="E60" s="28" t="s">
        <v>161</v>
      </c>
      <c r="F60" s="28">
        <v>42</v>
      </c>
    </row>
    <row r="61" spans="1:6" x14ac:dyDescent="0.3">
      <c r="A61" s="24" t="s">
        <v>25</v>
      </c>
      <c r="B61" s="24" t="s">
        <v>26</v>
      </c>
      <c r="C61" t="s">
        <v>323</v>
      </c>
      <c r="D61" s="28" t="s">
        <v>160</v>
      </c>
      <c r="E61" s="28" t="s">
        <v>161</v>
      </c>
      <c r="F61" s="28">
        <v>46</v>
      </c>
    </row>
    <row r="62" spans="1:6" x14ac:dyDescent="0.3">
      <c r="A62" s="24" t="s">
        <v>25</v>
      </c>
      <c r="B62" s="24" t="s">
        <v>26</v>
      </c>
      <c r="C62" t="s">
        <v>324</v>
      </c>
      <c r="D62" s="28" t="s">
        <v>160</v>
      </c>
      <c r="E62" s="28" t="s">
        <v>162</v>
      </c>
      <c r="F62" s="28">
        <v>38</v>
      </c>
    </row>
    <row r="63" spans="1:6" x14ac:dyDescent="0.3">
      <c r="A63" s="24" t="s">
        <v>25</v>
      </c>
      <c r="B63" s="24" t="s">
        <v>26</v>
      </c>
      <c r="C63" t="s">
        <v>325</v>
      </c>
      <c r="D63" s="28" t="s">
        <v>160</v>
      </c>
      <c r="E63" s="28" t="s">
        <v>162</v>
      </c>
      <c r="F63" s="28">
        <v>46</v>
      </c>
    </row>
    <row r="64" spans="1:6" x14ac:dyDescent="0.3">
      <c r="A64" s="24" t="s">
        <v>25</v>
      </c>
      <c r="B64" s="24" t="s">
        <v>26</v>
      </c>
      <c r="C64" t="s">
        <v>326</v>
      </c>
      <c r="D64" s="28" t="s">
        <v>164</v>
      </c>
      <c r="E64" s="28" t="s">
        <v>161</v>
      </c>
      <c r="F64" s="28">
        <v>44</v>
      </c>
    </row>
    <row r="65" spans="1:6" x14ac:dyDescent="0.3">
      <c r="A65" s="24" t="s">
        <v>25</v>
      </c>
      <c r="B65" s="24" t="s">
        <v>26</v>
      </c>
      <c r="C65" t="s">
        <v>327</v>
      </c>
      <c r="D65" s="28" t="s">
        <v>160</v>
      </c>
      <c r="E65" s="28" t="s">
        <v>161</v>
      </c>
      <c r="F65" s="28">
        <v>38</v>
      </c>
    </row>
    <row r="66" spans="1:6" x14ac:dyDescent="0.3">
      <c r="A66" s="24" t="s">
        <v>25</v>
      </c>
      <c r="B66" s="24" t="s">
        <v>26</v>
      </c>
      <c r="C66" t="s">
        <v>328</v>
      </c>
      <c r="D66" s="28" t="s">
        <v>165</v>
      </c>
      <c r="E66" s="28" t="s">
        <v>161</v>
      </c>
      <c r="F66" s="28">
        <v>48</v>
      </c>
    </row>
    <row r="67" spans="1:6" x14ac:dyDescent="0.3">
      <c r="A67" s="24" t="s">
        <v>25</v>
      </c>
      <c r="B67" s="24" t="s">
        <v>26</v>
      </c>
      <c r="C67" t="s">
        <v>329</v>
      </c>
      <c r="D67" s="28" t="s">
        <v>160</v>
      </c>
      <c r="E67" s="28" t="s">
        <v>161</v>
      </c>
      <c r="F67" s="28">
        <v>38</v>
      </c>
    </row>
    <row r="68" spans="1:6" x14ac:dyDescent="0.3">
      <c r="A68" s="24" t="s">
        <v>25</v>
      </c>
      <c r="B68" s="24" t="s">
        <v>26</v>
      </c>
      <c r="C68" t="s">
        <v>330</v>
      </c>
      <c r="D68" s="28" t="s">
        <v>160</v>
      </c>
      <c r="E68" s="28" t="s">
        <v>161</v>
      </c>
      <c r="F68" s="28">
        <v>46</v>
      </c>
    </row>
    <row r="69" spans="1:6" x14ac:dyDescent="0.3">
      <c r="A69" s="24" t="s">
        <v>25</v>
      </c>
      <c r="B69" s="24" t="s">
        <v>26</v>
      </c>
      <c r="C69" t="s">
        <v>331</v>
      </c>
      <c r="D69" s="28" t="s">
        <v>160</v>
      </c>
      <c r="E69" s="28" t="s">
        <v>161</v>
      </c>
      <c r="F69" s="28">
        <v>46</v>
      </c>
    </row>
    <row r="70" spans="1:6" x14ac:dyDescent="0.3">
      <c r="A70" s="24" t="s">
        <v>25</v>
      </c>
      <c r="B70" s="24" t="s">
        <v>26</v>
      </c>
      <c r="C70" t="s">
        <v>332</v>
      </c>
      <c r="D70" s="28" t="s">
        <v>164</v>
      </c>
      <c r="E70" s="28" t="s">
        <v>161</v>
      </c>
      <c r="F70" s="28">
        <v>40</v>
      </c>
    </row>
    <row r="71" spans="1:6" x14ac:dyDescent="0.3">
      <c r="A71" s="24" t="s">
        <v>25</v>
      </c>
      <c r="B71" s="24" t="s">
        <v>26</v>
      </c>
      <c r="C71" t="s">
        <v>333</v>
      </c>
      <c r="D71" s="28" t="s">
        <v>160</v>
      </c>
      <c r="E71" s="28" t="s">
        <v>161</v>
      </c>
      <c r="F71" s="28">
        <v>46</v>
      </c>
    </row>
    <row r="72" spans="1:6" x14ac:dyDescent="0.3">
      <c r="A72" s="24" t="s">
        <v>25</v>
      </c>
      <c r="B72" s="24" t="s">
        <v>26</v>
      </c>
      <c r="C72" t="s">
        <v>334</v>
      </c>
      <c r="D72" s="28" t="s">
        <v>160</v>
      </c>
      <c r="E72" s="28" t="s">
        <v>162</v>
      </c>
      <c r="F72" s="28">
        <v>38</v>
      </c>
    </row>
    <row r="73" spans="1:6" x14ac:dyDescent="0.3">
      <c r="A73" s="24" t="s">
        <v>25</v>
      </c>
      <c r="B73" s="24" t="s">
        <v>26</v>
      </c>
      <c r="C73" t="s">
        <v>335</v>
      </c>
      <c r="D73" s="28" t="s">
        <v>165</v>
      </c>
      <c r="E73" s="28" t="s">
        <v>161</v>
      </c>
      <c r="F73" s="28">
        <v>38</v>
      </c>
    </row>
    <row r="74" spans="1:6" x14ac:dyDescent="0.3">
      <c r="A74" s="24" t="s">
        <v>25</v>
      </c>
      <c r="B74" s="24" t="s">
        <v>26</v>
      </c>
      <c r="C74" t="s">
        <v>336</v>
      </c>
      <c r="D74" s="28" t="s">
        <v>160</v>
      </c>
      <c r="E74" s="28" t="s">
        <v>161</v>
      </c>
      <c r="F74" s="28">
        <v>46</v>
      </c>
    </row>
    <row r="75" spans="1:6" x14ac:dyDescent="0.3">
      <c r="A75" s="24" t="s">
        <v>25</v>
      </c>
      <c r="B75" s="24" t="s">
        <v>26</v>
      </c>
      <c r="C75" t="s">
        <v>337</v>
      </c>
      <c r="D75" s="28" t="s">
        <v>164</v>
      </c>
      <c r="E75" s="28" t="s">
        <v>161</v>
      </c>
      <c r="F75" s="28">
        <v>52</v>
      </c>
    </row>
    <row r="76" spans="1:6" x14ac:dyDescent="0.3">
      <c r="A76" s="24" t="s">
        <v>25</v>
      </c>
      <c r="B76" s="24" t="s">
        <v>26</v>
      </c>
      <c r="C76" t="s">
        <v>338</v>
      </c>
      <c r="D76" s="28" t="s">
        <v>160</v>
      </c>
      <c r="E76" s="28" t="s">
        <v>162</v>
      </c>
      <c r="F76" s="28">
        <v>38</v>
      </c>
    </row>
    <row r="77" spans="1:6" x14ac:dyDescent="0.3">
      <c r="A77" s="24" t="s">
        <v>25</v>
      </c>
      <c r="B77" s="24" t="s">
        <v>26</v>
      </c>
      <c r="C77" t="s">
        <v>339</v>
      </c>
      <c r="D77" s="28" t="s">
        <v>160</v>
      </c>
      <c r="E77" s="28" t="s">
        <v>162</v>
      </c>
      <c r="F77" s="28">
        <v>38</v>
      </c>
    </row>
    <row r="78" spans="1:6" x14ac:dyDescent="0.3">
      <c r="A78" s="24" t="s">
        <v>25</v>
      </c>
      <c r="B78" s="24" t="s">
        <v>26</v>
      </c>
      <c r="C78" t="s">
        <v>340</v>
      </c>
      <c r="D78" s="28" t="s">
        <v>160</v>
      </c>
      <c r="E78" s="28" t="s">
        <v>162</v>
      </c>
      <c r="F78" s="28">
        <v>38</v>
      </c>
    </row>
    <row r="79" spans="1:6" x14ac:dyDescent="0.3">
      <c r="A79" s="24" t="s">
        <v>25</v>
      </c>
      <c r="B79" s="24" t="s">
        <v>26</v>
      </c>
      <c r="C79" t="s">
        <v>341</v>
      </c>
      <c r="D79" s="28" t="s">
        <v>163</v>
      </c>
      <c r="E79" s="28" t="s">
        <v>162</v>
      </c>
      <c r="F79" s="28">
        <v>46</v>
      </c>
    </row>
    <row r="80" spans="1:6" x14ac:dyDescent="0.3">
      <c r="A80" s="24" t="s">
        <v>25</v>
      </c>
      <c r="B80" s="24" t="s">
        <v>26</v>
      </c>
      <c r="C80" t="s">
        <v>342</v>
      </c>
      <c r="D80" s="28" t="s">
        <v>160</v>
      </c>
      <c r="E80" s="28" t="s">
        <v>162</v>
      </c>
      <c r="F80" s="28">
        <v>38</v>
      </c>
    </row>
    <row r="81" spans="1:6" x14ac:dyDescent="0.3">
      <c r="A81" s="24" t="s">
        <v>25</v>
      </c>
      <c r="B81" s="24" t="s">
        <v>26</v>
      </c>
      <c r="C81" t="s">
        <v>343</v>
      </c>
      <c r="D81" s="28" t="s">
        <v>160</v>
      </c>
      <c r="E81" s="28" t="s">
        <v>161</v>
      </c>
      <c r="F81" s="28">
        <v>42</v>
      </c>
    </row>
    <row r="82" spans="1:6" x14ac:dyDescent="0.3">
      <c r="A82" s="24" t="s">
        <v>25</v>
      </c>
      <c r="B82" s="24" t="s">
        <v>26</v>
      </c>
      <c r="C82" t="s">
        <v>344</v>
      </c>
      <c r="D82" s="28" t="s">
        <v>164</v>
      </c>
      <c r="E82" s="28" t="s">
        <v>162</v>
      </c>
      <c r="F82" s="28">
        <v>42</v>
      </c>
    </row>
    <row r="83" spans="1:6" x14ac:dyDescent="0.3">
      <c r="A83" s="24" t="s">
        <v>25</v>
      </c>
      <c r="B83" s="24" t="s">
        <v>26</v>
      </c>
      <c r="C83" t="s">
        <v>345</v>
      </c>
      <c r="D83" s="28" t="s">
        <v>160</v>
      </c>
      <c r="E83" s="28" t="s">
        <v>161</v>
      </c>
      <c r="F83" s="28">
        <v>38</v>
      </c>
    </row>
    <row r="84" spans="1:6" x14ac:dyDescent="0.3">
      <c r="A84" s="24" t="s">
        <v>25</v>
      </c>
      <c r="B84" s="24" t="s">
        <v>26</v>
      </c>
      <c r="C84" t="s">
        <v>346</v>
      </c>
      <c r="D84" s="28" t="s">
        <v>160</v>
      </c>
      <c r="E84" s="28" t="s">
        <v>161</v>
      </c>
      <c r="F84" s="28">
        <v>46</v>
      </c>
    </row>
    <row r="85" spans="1:6" x14ac:dyDescent="0.3">
      <c r="A85" s="24" t="s">
        <v>25</v>
      </c>
      <c r="B85" s="24" t="s">
        <v>26</v>
      </c>
      <c r="C85" t="s">
        <v>347</v>
      </c>
      <c r="D85" s="28" t="s">
        <v>160</v>
      </c>
      <c r="E85" s="28" t="s">
        <v>162</v>
      </c>
      <c r="F85" s="28">
        <v>38</v>
      </c>
    </row>
    <row r="86" spans="1:6" x14ac:dyDescent="0.3">
      <c r="A86" s="24" t="s">
        <v>25</v>
      </c>
      <c r="B86" s="24" t="s">
        <v>26</v>
      </c>
      <c r="C86" t="s">
        <v>348</v>
      </c>
      <c r="D86" s="28" t="s">
        <v>160</v>
      </c>
      <c r="E86" s="28" t="s">
        <v>162</v>
      </c>
      <c r="F86" s="28">
        <v>42</v>
      </c>
    </row>
    <row r="87" spans="1:6" x14ac:dyDescent="0.3">
      <c r="A87" s="24" t="s">
        <v>25</v>
      </c>
      <c r="B87" s="24" t="s">
        <v>26</v>
      </c>
      <c r="C87" t="s">
        <v>349</v>
      </c>
      <c r="D87" s="28" t="s">
        <v>160</v>
      </c>
      <c r="E87" s="28" t="s">
        <v>161</v>
      </c>
      <c r="F87" s="28">
        <v>42</v>
      </c>
    </row>
    <row r="88" spans="1:6" x14ac:dyDescent="0.3">
      <c r="A88" s="24" t="s">
        <v>25</v>
      </c>
      <c r="B88" s="24" t="s">
        <v>26</v>
      </c>
      <c r="C88" t="s">
        <v>350</v>
      </c>
      <c r="D88" s="28" t="s">
        <v>164</v>
      </c>
      <c r="E88" s="28" t="s">
        <v>161</v>
      </c>
      <c r="F88" s="28">
        <v>42</v>
      </c>
    </row>
    <row r="89" spans="1:6" x14ac:dyDescent="0.3">
      <c r="A89" s="24" t="s">
        <v>25</v>
      </c>
      <c r="B89" s="24" t="s">
        <v>26</v>
      </c>
      <c r="C89" t="s">
        <v>351</v>
      </c>
      <c r="D89" s="28" t="s">
        <v>160</v>
      </c>
      <c r="E89" s="28" t="s">
        <v>161</v>
      </c>
      <c r="F89" s="28">
        <v>42</v>
      </c>
    </row>
  </sheetData>
  <phoneticPr fontId="18" type="noConversion"/>
  <conditionalFormatting sqref="A1:A89">
    <cfRule type="containsBlanks" dxfId="13" priority="9">
      <formula>LEN(TRIM(A1))=0</formula>
    </cfRule>
  </conditionalFormatting>
  <conditionalFormatting sqref="A1:A89">
    <cfRule type="containsText" dxfId="12" priority="10" operator="containsText" text="Sales_Order #">
      <formula>NOT(ISERROR(SEARCH("Sales_Order #",A1)))</formula>
    </cfRule>
  </conditionalFormatting>
  <conditionalFormatting sqref="B1:B89">
    <cfRule type="containsBlanks" dxfId="11" priority="7">
      <formula>LEN(TRIM(B1))=0</formula>
    </cfRule>
  </conditionalFormatting>
  <conditionalFormatting sqref="B1:B89">
    <cfRule type="containsText" dxfId="10" priority="8" operator="containsText" text="Sales_Order #">
      <formula>NOT(ISERROR(SEARCH("Sales_Order #",B1)))</formula>
    </cfRule>
  </conditionalFormatting>
  <conditionalFormatting sqref="D1:D89">
    <cfRule type="containsBlanks" dxfId="9" priority="5">
      <formula>LEN(TRIM(D1))=0</formula>
    </cfRule>
  </conditionalFormatting>
  <conditionalFormatting sqref="D1:D89">
    <cfRule type="containsText" dxfId="8" priority="6" operator="containsText" text="Sales_Order #">
      <formula>NOT(ISERROR(SEARCH("Sales_Order #",D1)))</formula>
    </cfRule>
  </conditionalFormatting>
  <conditionalFormatting sqref="E1:E89">
    <cfRule type="containsBlanks" dxfId="7" priority="3">
      <formula>LEN(TRIM(E1))=0</formula>
    </cfRule>
  </conditionalFormatting>
  <conditionalFormatting sqref="E1:E89">
    <cfRule type="containsText" dxfId="6" priority="4" operator="containsText" text="Sales_Order #">
      <formula>NOT(ISERROR(SEARCH("Sales_Order #",E1)))</formula>
    </cfRule>
  </conditionalFormatting>
  <conditionalFormatting sqref="F1:F89">
    <cfRule type="containsBlanks" dxfId="5" priority="1">
      <formula>LEN(TRIM(F1))=0</formula>
    </cfRule>
  </conditionalFormatting>
  <conditionalFormatting sqref="F1:F89">
    <cfRule type="containsText" dxfId="4" priority="2" operator="containsText" text="Sales_Order #">
      <formula>NOT(ISERROR(SEARCH("Sales_Order #",F1)))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1215-795E-4F15-B8F4-EE4F27FDC48B}">
  <dimension ref="A1:B89"/>
  <sheetViews>
    <sheetView workbookViewId="0">
      <selection activeCell="J18" sqref="J18"/>
    </sheetView>
  </sheetViews>
  <sheetFormatPr defaultRowHeight="14.4" x14ac:dyDescent="0.3"/>
  <cols>
    <col min="1" max="1" width="15.109375" customWidth="1"/>
    <col min="2" max="2" width="10.21875" customWidth="1"/>
    <col min="5" max="5" width="10.44140625" customWidth="1"/>
  </cols>
  <sheetData>
    <row r="1" spans="1:2" x14ac:dyDescent="0.3">
      <c r="A1" s="25" t="s">
        <v>441</v>
      </c>
      <c r="B1" s="23" t="s">
        <v>352</v>
      </c>
    </row>
    <row r="2" spans="1:2" x14ac:dyDescent="0.3">
      <c r="A2" s="3" t="s">
        <v>19</v>
      </c>
      <c r="B2" t="s">
        <v>353</v>
      </c>
    </row>
    <row r="3" spans="1:2" x14ac:dyDescent="0.3">
      <c r="A3" s="3" t="s">
        <v>159</v>
      </c>
      <c r="B3" t="s">
        <v>354</v>
      </c>
    </row>
    <row r="4" spans="1:2" x14ac:dyDescent="0.3">
      <c r="A4" s="3" t="s">
        <v>32</v>
      </c>
      <c r="B4" t="s">
        <v>355</v>
      </c>
    </row>
    <row r="5" spans="1:2" x14ac:dyDescent="0.3">
      <c r="A5" s="3" t="s">
        <v>35</v>
      </c>
      <c r="B5" t="s">
        <v>356</v>
      </c>
    </row>
    <row r="6" spans="1:2" x14ac:dyDescent="0.3">
      <c r="A6" s="3" t="s">
        <v>40</v>
      </c>
      <c r="B6" t="s">
        <v>357</v>
      </c>
    </row>
    <row r="7" spans="1:2" x14ac:dyDescent="0.3">
      <c r="A7" s="3" t="s">
        <v>42</v>
      </c>
      <c r="B7" t="s">
        <v>358</v>
      </c>
    </row>
    <row r="8" spans="1:2" x14ac:dyDescent="0.3">
      <c r="A8" s="7" t="s">
        <v>45</v>
      </c>
      <c r="B8" t="s">
        <v>359</v>
      </c>
    </row>
    <row r="9" spans="1:2" x14ac:dyDescent="0.3">
      <c r="A9" s="3" t="s">
        <v>48</v>
      </c>
      <c r="B9" t="s">
        <v>360</v>
      </c>
    </row>
    <row r="10" spans="1:2" x14ac:dyDescent="0.3">
      <c r="A10" s="3" t="s">
        <v>49</v>
      </c>
      <c r="B10" t="s">
        <v>361</v>
      </c>
    </row>
    <row r="11" spans="1:2" x14ac:dyDescent="0.3">
      <c r="A11" s="3" t="s">
        <v>50</v>
      </c>
      <c r="B11" t="s">
        <v>362</v>
      </c>
    </row>
    <row r="12" spans="1:2" x14ac:dyDescent="0.3">
      <c r="A12" s="3" t="s">
        <v>53</v>
      </c>
      <c r="B12" t="s">
        <v>363</v>
      </c>
    </row>
    <row r="13" spans="1:2" x14ac:dyDescent="0.3">
      <c r="A13" s="3" t="s">
        <v>56</v>
      </c>
      <c r="B13" t="s">
        <v>364</v>
      </c>
    </row>
    <row r="14" spans="1:2" x14ac:dyDescent="0.3">
      <c r="A14" s="3" t="s">
        <v>57</v>
      </c>
      <c r="B14" t="s">
        <v>365</v>
      </c>
    </row>
    <row r="15" spans="1:2" x14ac:dyDescent="0.3">
      <c r="A15" s="3" t="s">
        <v>58</v>
      </c>
      <c r="B15" t="s">
        <v>366</v>
      </c>
    </row>
    <row r="16" spans="1:2" x14ac:dyDescent="0.3">
      <c r="A16" s="3" t="s">
        <v>61</v>
      </c>
      <c r="B16" t="s">
        <v>367</v>
      </c>
    </row>
    <row r="17" spans="1:2" x14ac:dyDescent="0.3">
      <c r="A17" s="3" t="s">
        <v>63</v>
      </c>
      <c r="B17" t="s">
        <v>368</v>
      </c>
    </row>
    <row r="18" spans="1:2" x14ac:dyDescent="0.3">
      <c r="A18" s="3" t="s">
        <v>64</v>
      </c>
      <c r="B18" t="s">
        <v>369</v>
      </c>
    </row>
    <row r="19" spans="1:2" x14ac:dyDescent="0.3">
      <c r="A19" s="3" t="s">
        <v>67</v>
      </c>
      <c r="B19" t="s">
        <v>370</v>
      </c>
    </row>
    <row r="20" spans="1:2" x14ac:dyDescent="0.3">
      <c r="A20" s="3" t="s">
        <v>68</v>
      </c>
      <c r="B20" t="s">
        <v>371</v>
      </c>
    </row>
    <row r="21" spans="1:2" x14ac:dyDescent="0.3">
      <c r="A21" s="3" t="s">
        <v>70</v>
      </c>
      <c r="B21" t="s">
        <v>372</v>
      </c>
    </row>
    <row r="22" spans="1:2" x14ac:dyDescent="0.3">
      <c r="A22" s="3" t="s">
        <v>71</v>
      </c>
      <c r="B22" t="s">
        <v>373</v>
      </c>
    </row>
    <row r="23" spans="1:2" x14ac:dyDescent="0.3">
      <c r="A23" s="3" t="s">
        <v>73</v>
      </c>
      <c r="B23" t="s">
        <v>374</v>
      </c>
    </row>
    <row r="24" spans="1:2" x14ac:dyDescent="0.3">
      <c r="A24" s="3" t="s">
        <v>75</v>
      </c>
      <c r="B24" t="s">
        <v>375</v>
      </c>
    </row>
    <row r="25" spans="1:2" x14ac:dyDescent="0.3">
      <c r="A25" s="3" t="s">
        <v>78</v>
      </c>
      <c r="B25" t="s">
        <v>376</v>
      </c>
    </row>
    <row r="26" spans="1:2" x14ac:dyDescent="0.3">
      <c r="A26" s="3" t="s">
        <v>80</v>
      </c>
      <c r="B26" t="s">
        <v>377</v>
      </c>
    </row>
    <row r="27" spans="1:2" x14ac:dyDescent="0.3">
      <c r="A27" s="3" t="s">
        <v>81</v>
      </c>
      <c r="B27" t="s">
        <v>378</v>
      </c>
    </row>
    <row r="28" spans="1:2" x14ac:dyDescent="0.3">
      <c r="A28" s="3" t="s">
        <v>82</v>
      </c>
      <c r="B28" t="s">
        <v>379</v>
      </c>
    </row>
    <row r="29" spans="1:2" x14ac:dyDescent="0.3">
      <c r="A29" s="3" t="s">
        <v>83</v>
      </c>
      <c r="B29" t="s">
        <v>380</v>
      </c>
    </row>
    <row r="30" spans="1:2" x14ac:dyDescent="0.3">
      <c r="A30" s="3" t="s">
        <v>85</v>
      </c>
      <c r="B30" t="s">
        <v>381</v>
      </c>
    </row>
    <row r="31" spans="1:2" x14ac:dyDescent="0.3">
      <c r="A31" s="3" t="s">
        <v>87</v>
      </c>
      <c r="B31" t="s">
        <v>382</v>
      </c>
    </row>
    <row r="32" spans="1:2" x14ac:dyDescent="0.3">
      <c r="A32" s="3" t="s">
        <v>88</v>
      </c>
      <c r="B32" t="s">
        <v>383</v>
      </c>
    </row>
    <row r="33" spans="1:2" x14ac:dyDescent="0.3">
      <c r="A33" s="3" t="s">
        <v>91</v>
      </c>
      <c r="B33" t="s">
        <v>384</v>
      </c>
    </row>
    <row r="34" spans="1:2" x14ac:dyDescent="0.3">
      <c r="A34" s="3" t="s">
        <v>92</v>
      </c>
      <c r="B34" t="s">
        <v>385</v>
      </c>
    </row>
    <row r="35" spans="1:2" x14ac:dyDescent="0.3">
      <c r="A35" s="3" t="s">
        <v>93</v>
      </c>
      <c r="B35" t="s">
        <v>386</v>
      </c>
    </row>
    <row r="36" spans="1:2" x14ac:dyDescent="0.3">
      <c r="A36" s="3" t="s">
        <v>94</v>
      </c>
      <c r="B36" t="s">
        <v>387</v>
      </c>
    </row>
    <row r="37" spans="1:2" x14ac:dyDescent="0.3">
      <c r="A37" s="3" t="s">
        <v>95</v>
      </c>
      <c r="B37" t="s">
        <v>388</v>
      </c>
    </row>
    <row r="38" spans="1:2" x14ac:dyDescent="0.3">
      <c r="A38" s="3" t="s">
        <v>96</v>
      </c>
      <c r="B38" t="s">
        <v>389</v>
      </c>
    </row>
    <row r="39" spans="1:2" x14ac:dyDescent="0.3">
      <c r="A39" s="3" t="s">
        <v>97</v>
      </c>
      <c r="B39" t="s">
        <v>390</v>
      </c>
    </row>
    <row r="40" spans="1:2" x14ac:dyDescent="0.3">
      <c r="A40" s="3" t="s">
        <v>98</v>
      </c>
      <c r="B40" t="s">
        <v>391</v>
      </c>
    </row>
    <row r="41" spans="1:2" x14ac:dyDescent="0.3">
      <c r="A41" s="3" t="s">
        <v>99</v>
      </c>
      <c r="B41" t="s">
        <v>392</v>
      </c>
    </row>
    <row r="42" spans="1:2" x14ac:dyDescent="0.3">
      <c r="A42" s="3" t="s">
        <v>100</v>
      </c>
      <c r="B42" t="s">
        <v>393</v>
      </c>
    </row>
    <row r="43" spans="1:2" x14ac:dyDescent="0.3">
      <c r="A43" s="3" t="s">
        <v>101</v>
      </c>
      <c r="B43" t="s">
        <v>394</v>
      </c>
    </row>
    <row r="44" spans="1:2" x14ac:dyDescent="0.3">
      <c r="A44" s="3" t="s">
        <v>103</v>
      </c>
      <c r="B44" t="s">
        <v>395</v>
      </c>
    </row>
    <row r="45" spans="1:2" x14ac:dyDescent="0.3">
      <c r="A45" s="3" t="s">
        <v>104</v>
      </c>
      <c r="B45" t="s">
        <v>396</v>
      </c>
    </row>
    <row r="46" spans="1:2" x14ac:dyDescent="0.3">
      <c r="A46" s="3" t="s">
        <v>105</v>
      </c>
      <c r="B46" t="s">
        <v>397</v>
      </c>
    </row>
    <row r="47" spans="1:2" x14ac:dyDescent="0.3">
      <c r="A47" s="3" t="s">
        <v>106</v>
      </c>
      <c r="B47" t="s">
        <v>398</v>
      </c>
    </row>
    <row r="48" spans="1:2" x14ac:dyDescent="0.3">
      <c r="A48" s="3" t="s">
        <v>107</v>
      </c>
      <c r="B48" t="s">
        <v>399</v>
      </c>
    </row>
    <row r="49" spans="1:2" x14ac:dyDescent="0.3">
      <c r="A49" s="3" t="s">
        <v>108</v>
      </c>
      <c r="B49" t="s">
        <v>400</v>
      </c>
    </row>
    <row r="50" spans="1:2" x14ac:dyDescent="0.3">
      <c r="A50" s="3" t="s">
        <v>109</v>
      </c>
      <c r="B50" t="s">
        <v>401</v>
      </c>
    </row>
    <row r="51" spans="1:2" x14ac:dyDescent="0.3">
      <c r="A51" s="3" t="s">
        <v>110</v>
      </c>
      <c r="B51" t="s">
        <v>402</v>
      </c>
    </row>
    <row r="52" spans="1:2" x14ac:dyDescent="0.3">
      <c r="A52" s="3" t="s">
        <v>111</v>
      </c>
      <c r="B52" t="s">
        <v>403</v>
      </c>
    </row>
    <row r="53" spans="1:2" x14ac:dyDescent="0.3">
      <c r="A53" s="3" t="s">
        <v>114</v>
      </c>
      <c r="B53" t="s">
        <v>404</v>
      </c>
    </row>
    <row r="54" spans="1:2" x14ac:dyDescent="0.3">
      <c r="A54" s="3" t="s">
        <v>115</v>
      </c>
      <c r="B54" t="s">
        <v>405</v>
      </c>
    </row>
    <row r="55" spans="1:2" x14ac:dyDescent="0.3">
      <c r="A55" s="3" t="s">
        <v>116</v>
      </c>
      <c r="B55" t="s">
        <v>406</v>
      </c>
    </row>
    <row r="56" spans="1:2" x14ac:dyDescent="0.3">
      <c r="A56" s="3" t="s">
        <v>117</v>
      </c>
      <c r="B56" t="s">
        <v>407</v>
      </c>
    </row>
    <row r="57" spans="1:2" x14ac:dyDescent="0.3">
      <c r="A57" s="3" t="s">
        <v>118</v>
      </c>
      <c r="B57" t="s">
        <v>408</v>
      </c>
    </row>
    <row r="58" spans="1:2" x14ac:dyDescent="0.3">
      <c r="A58" s="3" t="s">
        <v>119</v>
      </c>
      <c r="B58" t="s">
        <v>409</v>
      </c>
    </row>
    <row r="59" spans="1:2" x14ac:dyDescent="0.3">
      <c r="A59" s="3" t="s">
        <v>121</v>
      </c>
      <c r="B59" t="s">
        <v>410</v>
      </c>
    </row>
    <row r="60" spans="1:2" x14ac:dyDescent="0.3">
      <c r="A60" s="3" t="s">
        <v>122</v>
      </c>
      <c r="B60" t="s">
        <v>411</v>
      </c>
    </row>
    <row r="61" spans="1:2" x14ac:dyDescent="0.3">
      <c r="A61" s="3" t="s">
        <v>123</v>
      </c>
      <c r="B61" t="s">
        <v>412</v>
      </c>
    </row>
    <row r="62" spans="1:2" x14ac:dyDescent="0.3">
      <c r="A62" s="3" t="s">
        <v>124</v>
      </c>
      <c r="B62" t="s">
        <v>413</v>
      </c>
    </row>
    <row r="63" spans="1:2" x14ac:dyDescent="0.3">
      <c r="A63" s="3" t="s">
        <v>125</v>
      </c>
      <c r="B63" t="s">
        <v>414</v>
      </c>
    </row>
    <row r="64" spans="1:2" x14ac:dyDescent="0.3">
      <c r="A64" s="3" t="s">
        <v>127</v>
      </c>
      <c r="B64" t="s">
        <v>415</v>
      </c>
    </row>
    <row r="65" spans="1:2" x14ac:dyDescent="0.3">
      <c r="A65" s="3" t="s">
        <v>129</v>
      </c>
      <c r="B65" t="s">
        <v>416</v>
      </c>
    </row>
    <row r="66" spans="1:2" x14ac:dyDescent="0.3">
      <c r="A66" s="3" t="s">
        <v>130</v>
      </c>
      <c r="B66" t="s">
        <v>417</v>
      </c>
    </row>
    <row r="67" spans="1:2" x14ac:dyDescent="0.3">
      <c r="A67" s="3" t="s">
        <v>132</v>
      </c>
      <c r="B67" t="s">
        <v>418</v>
      </c>
    </row>
    <row r="68" spans="1:2" x14ac:dyDescent="0.3">
      <c r="A68" s="3" t="s">
        <v>133</v>
      </c>
      <c r="B68" t="s">
        <v>419</v>
      </c>
    </row>
    <row r="69" spans="1:2" x14ac:dyDescent="0.3">
      <c r="A69" s="3" t="s">
        <v>134</v>
      </c>
      <c r="B69" t="s">
        <v>420</v>
      </c>
    </row>
    <row r="70" spans="1:2" x14ac:dyDescent="0.3">
      <c r="A70" s="3" t="s">
        <v>135</v>
      </c>
      <c r="B70" t="s">
        <v>421</v>
      </c>
    </row>
    <row r="71" spans="1:2" x14ac:dyDescent="0.3">
      <c r="A71" s="3" t="s">
        <v>137</v>
      </c>
      <c r="B71" t="s">
        <v>422</v>
      </c>
    </row>
    <row r="72" spans="1:2" x14ac:dyDescent="0.3">
      <c r="A72" s="3" t="s">
        <v>139</v>
      </c>
      <c r="B72" t="s">
        <v>423</v>
      </c>
    </row>
    <row r="73" spans="1:2" x14ac:dyDescent="0.3">
      <c r="A73" s="3" t="s">
        <v>140</v>
      </c>
      <c r="B73" t="s">
        <v>424</v>
      </c>
    </row>
    <row r="74" spans="1:2" x14ac:dyDescent="0.3">
      <c r="A74" s="3" t="s">
        <v>141</v>
      </c>
      <c r="B74" t="s">
        <v>425</v>
      </c>
    </row>
    <row r="75" spans="1:2" x14ac:dyDescent="0.3">
      <c r="A75" s="3" t="s">
        <v>142</v>
      </c>
      <c r="B75" t="s">
        <v>426</v>
      </c>
    </row>
    <row r="76" spans="1:2" x14ac:dyDescent="0.3">
      <c r="A76" s="3" t="s">
        <v>144</v>
      </c>
      <c r="B76" t="s">
        <v>427</v>
      </c>
    </row>
    <row r="77" spans="1:2" x14ac:dyDescent="0.3">
      <c r="A77" s="3" t="s">
        <v>145</v>
      </c>
      <c r="B77" t="s">
        <v>428</v>
      </c>
    </row>
    <row r="78" spans="1:2" x14ac:dyDescent="0.3">
      <c r="A78" s="3" t="s">
        <v>146</v>
      </c>
      <c r="B78" t="s">
        <v>429</v>
      </c>
    </row>
    <row r="79" spans="1:2" x14ac:dyDescent="0.3">
      <c r="A79" s="3" t="s">
        <v>148</v>
      </c>
      <c r="B79" t="s">
        <v>430</v>
      </c>
    </row>
    <row r="80" spans="1:2" x14ac:dyDescent="0.3">
      <c r="A80" s="3" t="s">
        <v>149</v>
      </c>
      <c r="B80" t="s">
        <v>431</v>
      </c>
    </row>
    <row r="81" spans="1:2" x14ac:dyDescent="0.3">
      <c r="A81" s="3" t="s">
        <v>150</v>
      </c>
      <c r="B81" t="s">
        <v>432</v>
      </c>
    </row>
    <row r="82" spans="1:2" x14ac:dyDescent="0.3">
      <c r="A82" s="3" t="s">
        <v>151</v>
      </c>
      <c r="B82" t="s">
        <v>433</v>
      </c>
    </row>
    <row r="83" spans="1:2" x14ac:dyDescent="0.3">
      <c r="A83" s="3" t="s">
        <v>152</v>
      </c>
      <c r="B83" t="s">
        <v>434</v>
      </c>
    </row>
    <row r="84" spans="1:2" x14ac:dyDescent="0.3">
      <c r="A84" s="3" t="s">
        <v>153</v>
      </c>
      <c r="B84" t="s">
        <v>435</v>
      </c>
    </row>
    <row r="85" spans="1:2" x14ac:dyDescent="0.3">
      <c r="A85" s="3" t="s">
        <v>154</v>
      </c>
      <c r="B85" t="s">
        <v>436</v>
      </c>
    </row>
    <row r="86" spans="1:2" x14ac:dyDescent="0.3">
      <c r="A86" s="3" t="s">
        <v>155</v>
      </c>
      <c r="B86" t="s">
        <v>437</v>
      </c>
    </row>
    <row r="87" spans="1:2" x14ac:dyDescent="0.3">
      <c r="A87" s="3" t="s">
        <v>156</v>
      </c>
      <c r="B87" t="s">
        <v>438</v>
      </c>
    </row>
    <row r="88" spans="1:2" x14ac:dyDescent="0.3">
      <c r="A88" s="3" t="s">
        <v>157</v>
      </c>
      <c r="B88" t="s">
        <v>439</v>
      </c>
    </row>
    <row r="89" spans="1:2" x14ac:dyDescent="0.3">
      <c r="A89" s="3" t="s">
        <v>158</v>
      </c>
      <c r="B89" t="s">
        <v>440</v>
      </c>
    </row>
  </sheetData>
  <phoneticPr fontId="18" type="noConversion"/>
  <conditionalFormatting sqref="A1:A1048576">
    <cfRule type="duplicateValues" dxfId="3" priority="5"/>
  </conditionalFormatting>
  <conditionalFormatting sqref="A1:A89">
    <cfRule type="containsText" dxfId="2" priority="4" operator="containsText" text="Sales_Order #">
      <formula>NOT(ISERROR(SEARCH("Sales_Order #",A1)))</formula>
    </cfRule>
  </conditionalFormatting>
  <conditionalFormatting sqref="A1:A89">
    <cfRule type="containsBlanks" dxfId="1" priority="3">
      <formula>LEN(TRIM(A1))=0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ef7ae401-bd17-41a5-97cb-ef653218410e"/>
    <ds:schemaRef ds:uri="http://schemas.openxmlformats.org/package/2006/metadata/core-properties"/>
    <ds:schemaRef ds:uri="6cf0ffbd-cd96-4ba4-bd4f-bd34e8409846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BFD464C-1890-402F-B6CF-303DB7E07F07}">
  <ds:schemaRefs/>
</ds:datastoreItem>
</file>

<file path=customXml/itemProps5.xml><?xml version="1.0" encoding="utf-8"?>
<ds:datastoreItem xmlns:ds="http://schemas.openxmlformats.org/officeDocument/2006/customXml" ds:itemID="{7F076A02-6BDB-43AB-A0D3-BF84F18B181A}">
  <ds:schemaRefs/>
</ds:datastoreItem>
</file>

<file path=customXml/itemProps6.xml><?xml version="1.0" encoding="utf-8"?>
<ds:datastoreItem xmlns:ds="http://schemas.openxmlformats.org/officeDocument/2006/customXml" ds:itemID="{F690D786-8439-487E-92A0-21DC183196DE}">
  <ds:schemaRefs/>
</ds:datastoreItem>
</file>

<file path=customXml/itemProps7.xml><?xml version="1.0" encoding="utf-8"?>
<ds:datastoreItem xmlns:ds="http://schemas.openxmlformats.org/officeDocument/2006/customXml" ds:itemID="{54DD202D-C43B-4F37-9488-C2AA119407D7}">
  <ds:schemaRefs/>
</ds:datastoreItem>
</file>

<file path=customXml/itemProps8.xml><?xml version="1.0" encoding="utf-8"?>
<ds:datastoreItem xmlns:ds="http://schemas.openxmlformats.org/officeDocument/2006/customXml" ds:itemID="{A32EA1A3-D52F-4C31-9DED-DFF813CA26D2}">
  <ds:schemaRefs/>
</ds:datastoreItem>
</file>

<file path=customXml/itemProps9.xml><?xml version="1.0" encoding="utf-8"?>
<ds:datastoreItem xmlns:ds="http://schemas.openxmlformats.org/officeDocument/2006/customXml" ds:itemID="{4F76CB84-EC38-4799-A725-069F9BF0B3BA}">
  <ds:schemaRefs/>
</ds:datastoreItem>
</file>

<file path=customXml/itemProps10.xml><?xml version="1.0" encoding="utf-8"?>
<ds:datastoreItem xmlns:ds="http://schemas.openxmlformats.org/officeDocument/2006/customXml" ds:itemID="{C91D45BE-69E0-496C-B6CC-1283378EE94E}">
  <ds:schemaRefs/>
</ds:datastoreItem>
</file>

<file path=customXml/itemProps11.xml><?xml version="1.0" encoding="utf-8"?>
<ds:datastoreItem xmlns:ds="http://schemas.openxmlformats.org/officeDocument/2006/customXml" ds:itemID="{3AE0C00C-C997-4E4A-8EEE-61258DECF9C0}">
  <ds:schemaRefs/>
</ds:datastoreItem>
</file>

<file path=customXml/itemProps12.xml><?xml version="1.0" encoding="utf-8"?>
<ds:datastoreItem xmlns:ds="http://schemas.openxmlformats.org/officeDocument/2006/customXml" ds:itemID="{27206F4B-016F-4AFC-8F19-93E53F24F33A}">
  <ds:schemaRefs/>
</ds:datastoreItem>
</file>

<file path=customXml/itemProps13.xml><?xml version="1.0" encoding="utf-8"?>
<ds:datastoreItem xmlns:ds="http://schemas.openxmlformats.org/officeDocument/2006/customXml" ds:itemID="{55514899-1A0F-4507-AB72-27C3726DE31B}">
  <ds:schemaRefs/>
</ds:datastoreItem>
</file>

<file path=customXml/itemProps14.xml><?xml version="1.0" encoding="utf-8"?>
<ds:datastoreItem xmlns:ds="http://schemas.openxmlformats.org/officeDocument/2006/customXml" ds:itemID="{2BC43FBF-7F7A-4447-B28E-8DBC9C2B8F6C}">
  <ds:schemaRefs/>
</ds:datastoreItem>
</file>

<file path=customXml/itemProps15.xml><?xml version="1.0" encoding="utf-8"?>
<ds:datastoreItem xmlns:ds="http://schemas.openxmlformats.org/officeDocument/2006/customXml" ds:itemID="{E9207D36-D540-4628-B7AE-FBA7C51417F3}">
  <ds:schemaRefs/>
</ds:datastoreItem>
</file>

<file path=customXml/itemProps16.xml><?xml version="1.0" encoding="utf-8"?>
<ds:datastoreItem xmlns:ds="http://schemas.openxmlformats.org/officeDocument/2006/customXml" ds:itemID="{A0C8E364-D241-407D-8F5A-096F380D84B8}">
  <ds:schemaRefs/>
</ds:datastoreItem>
</file>

<file path=customXml/itemProps17.xml><?xml version="1.0" encoding="utf-8"?>
<ds:datastoreItem xmlns:ds="http://schemas.openxmlformats.org/officeDocument/2006/customXml" ds:itemID="{F4BD4260-EEDF-475D-84DE-B6C3E6A520F5}">
  <ds:schemaRefs/>
</ds:datastoreItem>
</file>

<file path=customXml/itemProps18.xml><?xml version="1.0" encoding="utf-8"?>
<ds:datastoreItem xmlns:ds="http://schemas.openxmlformats.org/officeDocument/2006/customXml" ds:itemID="{CFE06640-627E-40D9-ACC0-4D1665542787}">
  <ds:schemaRefs/>
</ds:datastoreItem>
</file>

<file path=customXml/itemProps19.xml><?xml version="1.0" encoding="utf-8"?>
<ds:datastoreItem xmlns:ds="http://schemas.openxmlformats.org/officeDocument/2006/customXml" ds:itemID="{96C45A9A-1A15-41A5-999F-5C5812D2FD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Bike Sales (4)</vt:lpstr>
      <vt:lpstr>Bike Sales (3)</vt:lpstr>
      <vt:lpstr>Bike Sales (2)</vt:lpstr>
      <vt:lpstr>Fact_Sales</vt:lpstr>
      <vt:lpstr>Customer_Dim</vt:lpstr>
      <vt:lpstr>Product_Dim</vt:lpstr>
      <vt:lpstr>Order_Dim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nurjanahserad@gmail.com</cp:lastModifiedBy>
  <cp:revision/>
  <dcterms:created xsi:type="dcterms:W3CDTF">2022-11-04T20:14:11Z</dcterms:created>
  <dcterms:modified xsi:type="dcterms:W3CDTF">2026-02-20T14:04:24Z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