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OMLAB\Downloads\"/>
    </mc:Choice>
  </mc:AlternateContent>
  <bookViews>
    <workbookView xWindow="0" yWindow="0" windowWidth="28800" windowHeight="12300" activeTab="2"/>
  </bookViews>
  <sheets>
    <sheet name="Data" sheetId="1" r:id="rId1"/>
    <sheet name="Analyze" sheetId="5" r:id="rId2"/>
    <sheet name="Dashboard" sheetId="6" r:id="rId3"/>
  </sheets>
  <definedNames>
    <definedName name="NativeTimeline_Invoice_Date">#N/A</definedName>
    <definedName name="Slicer_Region">#N/A</definedName>
  </definedNames>
  <calcPr calcId="162913"/>
  <pivotCaches>
    <pivotCache cacheId="2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6" l="1"/>
  <c r="K13" i="6"/>
  <c r="J13" i="6"/>
  <c r="L13" i="6" s="1"/>
  <c r="E13" i="6"/>
  <c r="K14" i="6"/>
  <c r="K15" i="6"/>
  <c r="K16" i="6"/>
  <c r="K17" i="6"/>
  <c r="K18" i="6"/>
  <c r="J14" i="6"/>
  <c r="J15" i="6"/>
  <c r="J16" i="6"/>
  <c r="J17" i="6"/>
  <c r="J18" i="6"/>
  <c r="I14" i="6"/>
  <c r="I15" i="6"/>
  <c r="I16" i="6"/>
  <c r="I17" i="6"/>
  <c r="I18" i="6"/>
  <c r="I13" i="6"/>
  <c r="C14" i="6"/>
  <c r="D14" i="6"/>
  <c r="E14" i="6"/>
  <c r="C15" i="6"/>
  <c r="D15" i="6"/>
  <c r="E15" i="6"/>
  <c r="C16" i="6"/>
  <c r="D16" i="6"/>
  <c r="E16" i="6"/>
  <c r="C17" i="6"/>
  <c r="D17" i="6"/>
  <c r="E17" i="6"/>
  <c r="C18" i="6"/>
  <c r="D18" i="6"/>
  <c r="E18" i="6"/>
  <c r="C13" i="6"/>
  <c r="G66" i="5"/>
  <c r="H66" i="5"/>
  <c r="G67" i="5"/>
  <c r="H67" i="5"/>
  <c r="G68" i="5"/>
  <c r="H68" i="5"/>
  <c r="H65" i="5"/>
  <c r="F66" i="5"/>
  <c r="F67" i="5"/>
  <c r="F68" i="5"/>
  <c r="G65" i="5"/>
  <c r="F65" i="5"/>
  <c r="G61" i="5"/>
  <c r="H61" i="5"/>
  <c r="G62" i="5"/>
  <c r="H62" i="5"/>
  <c r="G63" i="5"/>
  <c r="H63" i="5"/>
  <c r="H60" i="5"/>
  <c r="F61" i="5"/>
  <c r="F62" i="5"/>
  <c r="F63" i="5"/>
  <c r="G60" i="5"/>
  <c r="F60" i="5"/>
  <c r="E65" i="5"/>
  <c r="E60" i="5"/>
  <c r="F18" i="6" l="1"/>
  <c r="F15" i="6"/>
  <c r="L17" i="6"/>
  <c r="L18" i="6"/>
  <c r="L16" i="6"/>
  <c r="L15" i="6"/>
  <c r="K19" i="6"/>
  <c r="L14" i="6"/>
  <c r="F17" i="6"/>
  <c r="E19" i="6"/>
  <c r="J19" i="6"/>
  <c r="F16" i="6"/>
  <c r="F14" i="6"/>
  <c r="D19" i="6"/>
  <c r="F13" i="6"/>
  <c r="L19" i="6" l="1"/>
  <c r="F19" i="6"/>
</calcChain>
</file>

<file path=xl/sharedStrings.xml><?xml version="1.0" encoding="utf-8"?>
<sst xmlns="http://schemas.openxmlformats.org/spreadsheetml/2006/main" count="48329" uniqueCount="167">
  <si>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</si>
  <si>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</si>
  <si>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</si>
  <si>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</si>
  <si>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</si>
  <si>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</si>
  <si>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</si>
  <si>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</si>
  <si>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</si>
  <si>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</si>
  <si>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</si>
  <si>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</si>
  <si>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</si>
  <si>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</si>
  <si>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</si>
  <si>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</si>
  <si>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</si>
  <si>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</si>
  <si>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</si>
  <si>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</si>
  <si>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</si>
  <si>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</si>
  <si>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</si>
  <si>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</si>
  <si>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</si>
  <si>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</si>
  <si>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</si>
  <si>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</si>
  <si>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</si>
  <si>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</si>
  <si>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</si>
  <si>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</si>
  <si>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</si>
  <si>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</si>
  <si>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</si>
  <si>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</si>
  <si>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</si>
  <si>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</si>
  <si>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</si>
  <si>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</si>
  <si>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</si>
  <si>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</si>
  <si>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</si>
  <si>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</si>
  <si>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</si>
  <si>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</si>
  <si>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</si>
  <si>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</si>
  <si>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</si>
  <si>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</si>
  <si>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</si>
  <si>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</si>
  <si>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</si>
  <si>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</si>
  <si>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</si>
  <si>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</si>
  <si>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</si>
  <si>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</si>
  <si>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</si>
  <si>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</si>
  <si>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</si>
  <si>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</si>
  <si>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</si>
  <si>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</si>
  <si>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</si>
  <si>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</si>
  <si>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</si>
  <si>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</si>
  <si>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</si>
  <si>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</si>
  <si>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</si>
  <si>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</si>
  <si>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</si>
  <si>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</si>
  <si>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</si>
  <si>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</si>
  <si>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</si>
  <si>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</si>
  <si>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</si>
  <si>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</si>
  <si>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</si>
  <si>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</si>
  <si>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</si>
  <si>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</si>
  <si>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</si>
  <si>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</si>
  <si>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</si>
  <si>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</si>
  <si>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</si>
  <si>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</si>
  <si>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</si>
  <si>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</si>
  <si>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</si>
  <si>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</si>
  <si>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</si>
  <si>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</si>
  <si>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</si>
  <si>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</si>
  <si>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</si>
  <si>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</si>
  <si>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</si>
  <si>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</si>
  <si>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</si>
  <si>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</si>
  <si>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</si>
  <si>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</si>
  <si>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</si>
  <si>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</si>
  <si>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</si>
  <si>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</si>
  <si>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</si>
  <si>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</si>
  <si>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</si>
  <si>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</si>
  <si>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</si>
  <si>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</si>
  <si>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</si>
  <si>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</si>
  <si>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</si>
  <si>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</si>
  <si>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</si>
  <si>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</si>
  <si>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</si>
  <si>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</si>
  <si>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</si>
  <si>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</si>
  <si>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</si>
  <si>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</si>
  <si>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</si>
  <si>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</si>
  <si>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</si>
  <si>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Sum of Total Sales</t>
  </si>
  <si>
    <t>ANALYSIS GUIDE</t>
  </si>
  <si>
    <t>KPI</t>
  </si>
  <si>
    <t>1. TOTAL SALES</t>
  </si>
  <si>
    <t>2. DISPLAY AVERAGES OPERATING PROFIT</t>
  </si>
  <si>
    <t>3. AVERAGE OPERATING</t>
  </si>
  <si>
    <t>DISPLAY TF:</t>
  </si>
  <si>
    <t>1. SALES PER RETAILER</t>
  </si>
  <si>
    <t>2. SALES PER AVERAGES</t>
  </si>
  <si>
    <t>3. CREATE CHART VISUALS FOR THE SALES</t>
  </si>
  <si>
    <t>Average of Operating Profit</t>
  </si>
  <si>
    <t>Average of Operating Margin</t>
  </si>
  <si>
    <t>Row Labels</t>
  </si>
  <si>
    <t>Grand Total</t>
  </si>
  <si>
    <t>Count of Units Sold</t>
  </si>
  <si>
    <t>2022</t>
  </si>
  <si>
    <t>Qtr1</t>
  </si>
  <si>
    <t>Qtr2</t>
  </si>
  <si>
    <t>Qtr3</t>
  </si>
  <si>
    <t>Qtr4</t>
  </si>
  <si>
    <t>2023</t>
  </si>
  <si>
    <t>Column Labels</t>
  </si>
  <si>
    <t>QUARTER SALES AND AVERAGES OPERATING MARGIN PER YEAR</t>
  </si>
  <si>
    <t>SALES COMPARISON PER BRAND</t>
  </si>
  <si>
    <t>SALES COMPARISON PER REATAILER (2022-2023)</t>
  </si>
  <si>
    <t>SALES PER RETAIL</t>
  </si>
  <si>
    <t>COCA - COLA USA RETAILER SALES DASHBOARD</t>
  </si>
  <si>
    <t>Brand</t>
  </si>
  <si>
    <t>Sales 2022</t>
  </si>
  <si>
    <t>Sales 2023</t>
  </si>
  <si>
    <t xml:space="preserve">  Varience</t>
  </si>
  <si>
    <t xml:space="preserve">      SALES BY RETAILER</t>
  </si>
  <si>
    <t>SALES BY REVERAGE BRAND</t>
  </si>
  <si>
    <t>Total</t>
  </si>
  <si>
    <t xml:space="preserve"> Varience</t>
  </si>
  <si>
    <t xml:space="preserve"> Figures in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</si>
</sst>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 #,##0.00_-;_-* &quot;-&quot;??_-;_-@_-"/>
    <numFmt numFmtId="164" formatCode="&quot;$&quot;#,##0_);[Red]\(&quot;$&quot;#,##0\)"/>
    <numFmt numFmtId="165" formatCode="&quot;$&quot;#,##0.00_);[Red]\(&quot;$&quot;#,##0.00\)"/>
    <numFmt numFmtId="166" formatCode="_-[$$-409]* #,##0.00_ ;_-[$$-409]* \-#,##0.00\ ;_-[$$-409]* &quot;-&quot;??_ ;_-@_ "/>
    <numFmt numFmtId="167" formatCode="_-[$₱-3409]* #,##0.00_-;\-[$₱-3409]* #,##0.00_-;_-[$₱-3409]* &quot;-&quot;??_-;_-@_-"/>
  </numFmts>
  <fonts count="13"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1"/>
      <name val="Calibri"/>
      <family val="2"/>
      <scheme val="minor"/>
    </font>
    <font>
      <b/>
      <sz val="16"/>
      <color theme="1"/>
      <name val="Calibri"/>
      <family val="2"/>
      <scheme val="minor"/>
    </font>
    <font>
      <b/>
      <sz val="16"/>
      <color rgb="FFFF0000"/>
      <name val="Calibri"/>
      <family val="2"/>
      <scheme val="minor"/>
    </font>
    <font>
      <b/>
      <sz val="14"/>
      <color rgb="FFFF0000"/>
      <name val="Calibri"/>
      <family val="2"/>
      <scheme val="minor"/>
    </font>
    <font>
      <sz val="12"/>
      <color theme="0"/>
      <name val="Bahnschrift SemiBold"/>
      <family val="2"/>
    </font>
    <font>
      <sz val="12"/>
      <color theme="1"/>
      <name val="Broadway"/>
      <family val="5"/>
    </font>
    <font>
      <sz val="12"/>
      <name val="Calibri"/>
      <family val="2"/>
      <scheme val="minor"/>
    </font>
    <font>
      <sz val="30"/>
      <color theme="1"/>
      <name val="Broadway"/>
      <family val="5"/>
    </font>
  </fonts>
  <fills count="7">
    <fill>
      <patternFill patternType="none"/>
    </fill>
    <fill>
      <patternFill patternType="gray125"/>
    </fill>
    <fill>
      <patternFill patternType="solid">
        <fgColor rgb="FF2A3E68"/>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2">
    <border>
      <left/>
      <right/>
      <top/>
      <bottom/>
      <diagonal/>
    </border>
    <border>
      <left/>
      <right/>
      <top/>
      <bottom style="thin">
        <color indexed="64"/>
      </bottom>
      <diagonal/>
    </border>
  </borders>
  <cellStyleXfs count="3">
    <xf numFmtId="0" fontId="0" fillId="0" borderId="0"/>
    <xf numFmtId="0" fontId="4" fillId="0" borderId="0" applyNumberFormat="0" applyFill="0" applyBorder="0" applyAlignment="0" applyProtection="0"/>
    <xf numFmtId="43" fontId="5" fillId="0" borderId="0" applyFont="0" applyFill="0" applyBorder="0" applyAlignment="0" applyProtection="0"/>
  </cellStyleXfs>
  <cellXfs count="31">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0" borderId="0" xfId="0" applyNumberFormat="1"/>
    <xf numFmtId="0" fontId="6"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7" fontId="0" fillId="0" borderId="0" xfId="0" applyNumberFormat="1"/>
    <xf numFmtId="0" fontId="7" fillId="0" borderId="0" xfId="0" applyFont="1"/>
    <xf numFmtId="0" fontId="7" fillId="0" borderId="0" xfId="0" applyFont="1" applyAlignment="1">
      <alignment horizontal="left"/>
    </xf>
    <xf numFmtId="0" fontId="8" fillId="0" borderId="0" xfId="0" applyFont="1"/>
    <xf numFmtId="0" fontId="0" fillId="3" borderId="0" xfId="0" applyFill="1"/>
    <xf numFmtId="0" fontId="0" fillId="0" borderId="0" xfId="0" applyFill="1"/>
    <xf numFmtId="43" fontId="0" fillId="0" borderId="0" xfId="2" applyFont="1"/>
    <xf numFmtId="43" fontId="0" fillId="3" borderId="0" xfId="2" applyFont="1" applyFill="1"/>
    <xf numFmtId="0" fontId="0" fillId="4" borderId="0" xfId="0" applyFill="1"/>
    <xf numFmtId="0" fontId="0" fillId="5" borderId="0" xfId="0" applyFill="1"/>
    <xf numFmtId="0" fontId="9" fillId="4" borderId="0" xfId="0" applyFont="1" applyFill="1"/>
    <xf numFmtId="0" fontId="11" fillId="6" borderId="0" xfId="0" applyFont="1" applyFill="1" applyAlignment="1">
      <alignment horizontal="center"/>
    </xf>
    <xf numFmtId="0" fontId="10" fillId="5" borderId="0" xfId="0" applyFont="1" applyFill="1"/>
    <xf numFmtId="0" fontId="12" fillId="5" borderId="0" xfId="0" applyFont="1" applyFill="1"/>
  </cellXfs>
  <cellStyles count="3">
    <cellStyle name="Comma" xfId="2" builtinId="3"/>
    <cellStyle name="Hyperlink 2" xfId="1"/>
    <cellStyle name="Normal" xfId="0" builtinId="0"/>
  </cellStyles>
  <dxfs count="27">
    <dxf>
      <numFmt numFmtId="166" formatCode="_-[$$-409]* #,##0.00_ ;_-[$$-409]* \-#,##0.00\ ;_-[$$-409]* &quot;-&quot;??_ ;_-@_ "/>
    </dxf>
    <dxf>
      <numFmt numFmtId="166" formatCode="_-[$$-409]* #,##0.00_ ;_-[$$-409]* \-#,##0.00\ ;_-[$$-409]* &quot;-&quot;??_ ;_-@_ "/>
    </dxf>
    <dxf>
      <numFmt numFmtId="166" formatCode="_-[$$-409]* #,##0.00_ ;_-[$$-409]* \-#,##0.00\ ;_-[$$-409]* &quot;-&quot;??_ ;_-@_ "/>
    </dxf>
    <dxf>
      <numFmt numFmtId="2" formatCode="0.00"/>
    </dxf>
    <dxf>
      <numFmt numFmtId="2" formatCode="0.00"/>
    </dxf>
    <dxf>
      <numFmt numFmtId="167" formatCode="_-[$₱-3409]* #,##0.00_-;\-[$₱-3409]* #,##0.00_-;_-[$₱-3409]* &quot;-&quot;??_-;_-@_-"/>
    </dxf>
    <dxf>
      <numFmt numFmtId="167" formatCode="_-[$₱-3409]* #,##0.00_-;\-[$₱-3409]* #,##0.00_-;_-[$₱-3409]* &quot;-&quot;??_-;_-@_-"/>
    </dxf>
    <dxf>
      <numFmt numFmtId="167" formatCode="_-[$₱-3409]* #,##0.00_-;\-[$₱-3409]* #,##0.00_-;_-[$₱-3409]* &quot;-&quot;??_-;_-@_-"/>
    </dxf>
    <dxf>
      <numFmt numFmtId="166" formatCode="_-[$$-409]* #,##0.00_ ;_-[$$-409]* \-#,##0.00\ ;_-[$$-409]* &quot;-&quot;??_ ;_-@_ "/>
    </dxf>
    <dxf>
      <numFmt numFmtId="166" formatCode="_-[$$-409]* #,##0.00_ ;_-[$$-409]* \-#,##0.00\ ;_-[$$-409]* &quot;-&quot;??_ ;_-@_ "/>
    </dxf>
    <dxf>
      <numFmt numFmtId="166" formatCode="_-[$$-409]* #,##0.00_ ;_-[$$-409]* \-#,##0.00\ ;_-[$$-409]* &quot;-&quot;??_ ;_-@_ "/>
    </dxf>
    <dxf>
      <numFmt numFmtId="166" formatCode="_-[$$-409]* #,##0.00_ ;_-[$$-409]* \-#,##0.00\ ;_-[$$-409]* &quot;-&quot;??_ ;_-@_ "/>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SALES AND PROFIT MARGIN COMPARISON PER YEAR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Analyze!$E$60:$F$68</c:f>
              <c:multiLvlStrCache>
                <c:ptCount val="9"/>
                <c:lvl>
                  <c:pt idx="0">
                    <c:v>Qtr1</c:v>
                  </c:pt>
                  <c:pt idx="1">
                    <c:v>Qtr2</c:v>
                  </c:pt>
                  <c:pt idx="2">
                    <c:v>Qtr3</c:v>
                  </c:pt>
                  <c:pt idx="3">
                    <c:v>Qtr4</c:v>
                  </c:pt>
                  <c:pt idx="5">
                    <c:v>Qtr1</c:v>
                  </c:pt>
                  <c:pt idx="6">
                    <c:v>Qtr2</c:v>
                  </c:pt>
                  <c:pt idx="7">
                    <c:v>Qtr3</c:v>
                  </c:pt>
                  <c:pt idx="8">
                    <c:v>Qtr4</c:v>
                  </c:pt>
                </c:lvl>
                <c:lvl>
                  <c:pt idx="0">
                    <c:v>2022</c:v>
                  </c:pt>
                  <c:pt idx="5">
                    <c:v>2023</c:v>
                  </c:pt>
                </c:lvl>
              </c:multiLvlStrCache>
            </c:multiLvlStrRef>
          </c:cat>
          <c:val>
            <c:numRef>
              <c:f>Analyze!$G$60:$G$68</c:f>
              <c:numCache>
                <c:formatCode>General</c:formatCode>
                <c:ptCount val="9"/>
                <c:pt idx="0">
                  <c:v>692776.09999999986</c:v>
                </c:pt>
                <c:pt idx="1">
                  <c:v>644203.89999999932</c:v>
                </c:pt>
                <c:pt idx="2">
                  <c:v>719170.39999999979</c:v>
                </c:pt>
                <c:pt idx="3">
                  <c:v>367582.10000000015</c:v>
                </c:pt>
                <c:pt idx="5">
                  <c:v>1877584.300000001</c:v>
                </c:pt>
                <c:pt idx="6">
                  <c:v>2379424.800000004</c:v>
                </c:pt>
                <c:pt idx="7">
                  <c:v>2805752.5000000005</c:v>
                </c:pt>
                <c:pt idx="8">
                  <c:v>2530170.899999999</c:v>
                </c:pt>
              </c:numCache>
            </c:numRef>
          </c:val>
          <c:extLst>
            <c:ext xmlns:c16="http://schemas.microsoft.com/office/drawing/2014/chart" uri="{C3380CC4-5D6E-409C-BE32-E72D297353CC}">
              <c16:uniqueId val="{00000000-10A6-4A2D-9FFE-CD7CF32D7566}"/>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Analyze!$E$60:$F$68</c:f>
              <c:multiLvlStrCache>
                <c:ptCount val="9"/>
                <c:lvl>
                  <c:pt idx="0">
                    <c:v>Qtr1</c:v>
                  </c:pt>
                  <c:pt idx="1">
                    <c:v>Qtr2</c:v>
                  </c:pt>
                  <c:pt idx="2">
                    <c:v>Qtr3</c:v>
                  </c:pt>
                  <c:pt idx="3">
                    <c:v>Qtr4</c:v>
                  </c:pt>
                  <c:pt idx="5">
                    <c:v>Qtr1</c:v>
                  </c:pt>
                  <c:pt idx="6">
                    <c:v>Qtr2</c:v>
                  </c:pt>
                  <c:pt idx="7">
                    <c:v>Qtr3</c:v>
                  </c:pt>
                  <c:pt idx="8">
                    <c:v>Qtr4</c:v>
                  </c:pt>
                </c:lvl>
                <c:lvl>
                  <c:pt idx="0">
                    <c:v>2022</c:v>
                  </c:pt>
                  <c:pt idx="5">
                    <c:v>2023</c:v>
                  </c:pt>
                </c:lvl>
              </c:multiLvlStrCache>
            </c:multiLvlStrRef>
          </c:cat>
          <c:val>
            <c:numRef>
              <c:f>Analyze!$H$60:$H$68</c:f>
              <c:numCache>
                <c:formatCode>General</c:formatCode>
                <c:ptCount val="9"/>
                <c:pt idx="0">
                  <c:v>0.40174683544303763</c:v>
                </c:pt>
                <c:pt idx="1">
                  <c:v>0.40000000000000013</c:v>
                </c:pt>
                <c:pt idx="2">
                  <c:v>0.41026548672566376</c:v>
                </c:pt>
                <c:pt idx="3">
                  <c:v>0.40243816254416953</c:v>
                </c:pt>
                <c:pt idx="5">
                  <c:v>0.41657045009784782</c:v>
                </c:pt>
                <c:pt idx="6">
                  <c:v>0.42755819477434692</c:v>
                </c:pt>
                <c:pt idx="7">
                  <c:v>0.4347017045454537</c:v>
                </c:pt>
                <c:pt idx="8">
                  <c:v>0.42483932853717082</c:v>
                </c:pt>
              </c:numCache>
            </c:numRef>
          </c:val>
          <c:extLst>
            <c:ext xmlns:c16="http://schemas.microsoft.com/office/drawing/2014/chart" uri="{C3380CC4-5D6E-409C-BE32-E72D297353CC}">
              <c16:uniqueId val="{00000001-10A6-4A2D-9FFE-CD7CF32D7566}"/>
            </c:ext>
          </c:extLst>
        </c:ser>
        <c:dLbls>
          <c:showLegendKey val="0"/>
          <c:showVal val="0"/>
          <c:showCatName val="0"/>
          <c:showSerName val="0"/>
          <c:showPercent val="0"/>
          <c:showBubbleSize val="0"/>
        </c:dLbls>
        <c:gapWidth val="150"/>
        <c:overlap val="100"/>
        <c:serLines>
          <c:spPr>
            <a:ln w="9525" cap="flat" cmpd="sng" algn="ctr">
              <a:solidFill>
                <a:schemeClr val="lt1">
                  <a:lumMod val="95000"/>
                  <a:alpha val="54000"/>
                </a:schemeClr>
              </a:solidFill>
              <a:round/>
            </a:ln>
            <a:effectLst/>
          </c:spPr>
        </c:serLines>
        <c:axId val="2028683391"/>
        <c:axId val="2028675071"/>
      </c:barChart>
      <c:catAx>
        <c:axId val="2028683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675071"/>
        <c:crosses val="autoZero"/>
        <c:auto val="1"/>
        <c:lblAlgn val="ctr"/>
        <c:lblOffset val="100"/>
        <c:noMultiLvlLbl val="0"/>
      </c:catAx>
      <c:valAx>
        <c:axId val="2028675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68339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SALES AND PROFIT MARGIN COMPARISON PER YEAR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Analyze!$E$60:$F$68</c:f>
              <c:multiLvlStrCache>
                <c:ptCount val="9"/>
                <c:lvl>
                  <c:pt idx="0">
                    <c:v>Qtr1</c:v>
                  </c:pt>
                  <c:pt idx="1">
                    <c:v>Qtr2</c:v>
                  </c:pt>
                  <c:pt idx="2">
                    <c:v>Qtr3</c:v>
                  </c:pt>
                  <c:pt idx="3">
                    <c:v>Qtr4</c:v>
                  </c:pt>
                  <c:pt idx="5">
                    <c:v>Qtr1</c:v>
                  </c:pt>
                  <c:pt idx="6">
                    <c:v>Qtr2</c:v>
                  </c:pt>
                  <c:pt idx="7">
                    <c:v>Qtr3</c:v>
                  </c:pt>
                  <c:pt idx="8">
                    <c:v>Qtr4</c:v>
                  </c:pt>
                </c:lvl>
                <c:lvl>
                  <c:pt idx="0">
                    <c:v>2022</c:v>
                  </c:pt>
                  <c:pt idx="5">
                    <c:v>2023</c:v>
                  </c:pt>
                </c:lvl>
              </c:multiLvlStrCache>
            </c:multiLvlStrRef>
          </c:cat>
          <c:val>
            <c:numRef>
              <c:f>Analyze!$G$60:$G$68</c:f>
              <c:numCache>
                <c:formatCode>General</c:formatCode>
                <c:ptCount val="9"/>
                <c:pt idx="0">
                  <c:v>692776.09999999986</c:v>
                </c:pt>
                <c:pt idx="1">
                  <c:v>644203.89999999932</c:v>
                </c:pt>
                <c:pt idx="2">
                  <c:v>719170.39999999979</c:v>
                </c:pt>
                <c:pt idx="3">
                  <c:v>367582.10000000015</c:v>
                </c:pt>
                <c:pt idx="5">
                  <c:v>1877584.300000001</c:v>
                </c:pt>
                <c:pt idx="6">
                  <c:v>2379424.800000004</c:v>
                </c:pt>
                <c:pt idx="7">
                  <c:v>2805752.5000000005</c:v>
                </c:pt>
                <c:pt idx="8">
                  <c:v>2530170.899999999</c:v>
                </c:pt>
              </c:numCache>
            </c:numRef>
          </c:val>
          <c:extLst>
            <c:ext xmlns:c16="http://schemas.microsoft.com/office/drawing/2014/chart" uri="{C3380CC4-5D6E-409C-BE32-E72D297353CC}">
              <c16:uniqueId val="{00000000-7AA3-45E2-BEBD-A1BD3C0FCA6D}"/>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Analyze!$E$60:$F$68</c:f>
              <c:multiLvlStrCache>
                <c:ptCount val="9"/>
                <c:lvl>
                  <c:pt idx="0">
                    <c:v>Qtr1</c:v>
                  </c:pt>
                  <c:pt idx="1">
                    <c:v>Qtr2</c:v>
                  </c:pt>
                  <c:pt idx="2">
                    <c:v>Qtr3</c:v>
                  </c:pt>
                  <c:pt idx="3">
                    <c:v>Qtr4</c:v>
                  </c:pt>
                  <c:pt idx="5">
                    <c:v>Qtr1</c:v>
                  </c:pt>
                  <c:pt idx="6">
                    <c:v>Qtr2</c:v>
                  </c:pt>
                  <c:pt idx="7">
                    <c:v>Qtr3</c:v>
                  </c:pt>
                  <c:pt idx="8">
                    <c:v>Qtr4</c:v>
                  </c:pt>
                </c:lvl>
                <c:lvl>
                  <c:pt idx="0">
                    <c:v>2022</c:v>
                  </c:pt>
                  <c:pt idx="5">
                    <c:v>2023</c:v>
                  </c:pt>
                </c:lvl>
              </c:multiLvlStrCache>
            </c:multiLvlStrRef>
          </c:cat>
          <c:val>
            <c:numRef>
              <c:f>Analyze!$H$60:$H$68</c:f>
              <c:numCache>
                <c:formatCode>General</c:formatCode>
                <c:ptCount val="9"/>
                <c:pt idx="0">
                  <c:v>0.40174683544303763</c:v>
                </c:pt>
                <c:pt idx="1">
                  <c:v>0.40000000000000013</c:v>
                </c:pt>
                <c:pt idx="2">
                  <c:v>0.41026548672566376</c:v>
                </c:pt>
                <c:pt idx="3">
                  <c:v>0.40243816254416953</c:v>
                </c:pt>
                <c:pt idx="5">
                  <c:v>0.41657045009784782</c:v>
                </c:pt>
                <c:pt idx="6">
                  <c:v>0.42755819477434692</c:v>
                </c:pt>
                <c:pt idx="7">
                  <c:v>0.4347017045454537</c:v>
                </c:pt>
                <c:pt idx="8">
                  <c:v>0.42483932853717082</c:v>
                </c:pt>
              </c:numCache>
            </c:numRef>
          </c:val>
          <c:extLst>
            <c:ext xmlns:c16="http://schemas.microsoft.com/office/drawing/2014/chart" uri="{C3380CC4-5D6E-409C-BE32-E72D297353CC}">
              <c16:uniqueId val="{00000001-7AA3-45E2-BEBD-A1BD3C0FCA6D}"/>
            </c:ext>
          </c:extLst>
        </c:ser>
        <c:dLbls>
          <c:showLegendKey val="0"/>
          <c:showVal val="0"/>
          <c:showCatName val="0"/>
          <c:showSerName val="0"/>
          <c:showPercent val="0"/>
          <c:showBubbleSize val="0"/>
        </c:dLbls>
        <c:gapWidth val="150"/>
        <c:overlap val="100"/>
        <c:serLines>
          <c:spPr>
            <a:ln w="9525" cap="flat" cmpd="sng" algn="ctr">
              <a:solidFill>
                <a:schemeClr val="lt1">
                  <a:lumMod val="95000"/>
                  <a:alpha val="54000"/>
                </a:schemeClr>
              </a:solidFill>
              <a:round/>
            </a:ln>
            <a:effectLst/>
          </c:spPr>
        </c:serLines>
        <c:axId val="2028683391"/>
        <c:axId val="2028675071"/>
      </c:barChart>
      <c:catAx>
        <c:axId val="20286833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675071"/>
        <c:crosses val="autoZero"/>
        <c:auto val="1"/>
        <c:lblAlgn val="ctr"/>
        <c:lblOffset val="100"/>
        <c:noMultiLvlLbl val="0"/>
      </c:catAx>
      <c:valAx>
        <c:axId val="20286750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68339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133349</xdr:colOff>
      <xdr:row>50</xdr:row>
      <xdr:rowOff>38100</xdr:rowOff>
    </xdr:from>
    <xdr:to>
      <xdr:col>12</xdr:col>
      <xdr:colOff>714374</xdr:colOff>
      <xdr:row>63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304800</xdr:colOff>
      <xdr:row>35</xdr:row>
      <xdr:rowOff>171450</xdr:rowOff>
    </xdr:from>
    <xdr:to>
      <xdr:col>6</xdr:col>
      <xdr:colOff>57150</xdr:colOff>
      <xdr:row>44</xdr:row>
      <xdr:rowOff>76200</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38825" y="7277100"/>
              <a:ext cx="1828800" cy="177165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1085850</xdr:colOff>
      <xdr:row>10</xdr:row>
      <xdr:rowOff>104775</xdr:rowOff>
    </xdr:from>
    <xdr:to>
      <xdr:col>4</xdr:col>
      <xdr:colOff>914400</xdr:colOff>
      <xdr:row>17</xdr:row>
      <xdr:rowOff>76200</xdr:rowOff>
    </xdr:to>
    <mc:AlternateContent xmlns:mc="http://schemas.openxmlformats.org/markup-compatibility/2006" xmlns:tsle="http://schemas.microsoft.com/office/drawing/2012/timeslicer">
      <mc:Choice Requires="tsle">
        <xdr:graphicFrame macro="">
          <xdr:nvGraphicFramePr>
            <xdr:cNvPr id="5" name="Invoice Date"/>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4610100" y="2171700"/>
              <a:ext cx="1838325" cy="13716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1</xdr:row>
      <xdr:rowOff>19051</xdr:rowOff>
    </xdr:from>
    <xdr:to>
      <xdr:col>0</xdr:col>
      <xdr:colOff>1562100</xdr:colOff>
      <xdr:row>3</xdr:row>
      <xdr:rowOff>146051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219076"/>
          <a:ext cx="1409700" cy="793750"/>
        </a:xfrm>
        <a:prstGeom prst="rect">
          <a:avLst/>
        </a:prstGeom>
      </xdr:spPr>
    </xdr:pic>
    <xdr:clientData/>
  </xdr:twoCellAnchor>
  <xdr:twoCellAnchor editAs="oneCell">
    <xdr:from>
      <xdr:col>13</xdr:col>
      <xdr:colOff>609600</xdr:colOff>
      <xdr:row>0</xdr:row>
      <xdr:rowOff>28575</xdr:rowOff>
    </xdr:from>
    <xdr:to>
      <xdr:col>15</xdr:col>
      <xdr:colOff>563874</xdr:colOff>
      <xdr:row>4</xdr:row>
      <xdr:rowOff>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68250" y="28575"/>
          <a:ext cx="1668774" cy="1047750"/>
        </a:xfrm>
        <a:prstGeom prst="rect">
          <a:avLst/>
        </a:prstGeom>
      </xdr:spPr>
    </xdr:pic>
    <xdr:clientData/>
  </xdr:twoCellAnchor>
  <xdr:twoCellAnchor>
    <xdr:from>
      <xdr:col>2</xdr:col>
      <xdr:colOff>104775</xdr:colOff>
      <xdr:row>5</xdr:row>
      <xdr:rowOff>47624</xdr:rowOff>
    </xdr:from>
    <xdr:to>
      <xdr:col>4</xdr:col>
      <xdr:colOff>495300</xdr:colOff>
      <xdr:row>8</xdr:row>
      <xdr:rowOff>161924</xdr:rowOff>
    </xdr:to>
    <xdr:sp macro="" textlink="">
      <xdr:nvSpPr>
        <xdr:cNvPr id="5" name="Round Diagonal Corner Rectangle 4"/>
        <xdr:cNvSpPr/>
      </xdr:nvSpPr>
      <xdr:spPr>
        <a:xfrm>
          <a:off x="1819275" y="1428749"/>
          <a:ext cx="2105025" cy="714375"/>
        </a:xfrm>
        <a:prstGeom prst="round2Diag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chemeClr val="tx1"/>
              </a:solidFill>
              <a:latin typeface="CentSchbkCyrill BT" panose="02040603050705020303" pitchFamily="18" charset="-52"/>
            </a:rPr>
            <a:t>                  </a:t>
          </a:r>
          <a:r>
            <a:rPr lang="en-PH" sz="1100">
              <a:solidFill>
                <a:schemeClr val="tx1"/>
              </a:solidFill>
              <a:latin typeface="+mn-lt"/>
            </a:rPr>
            <a:t>TOTAL</a:t>
          </a:r>
          <a:r>
            <a:rPr lang="en-PH" sz="1100" baseline="0">
              <a:solidFill>
                <a:schemeClr val="tx1"/>
              </a:solidFill>
              <a:latin typeface="+mn-lt"/>
            </a:rPr>
            <a:t> SALES</a:t>
          </a:r>
        </a:p>
        <a:p>
          <a:pPr algn="l"/>
          <a:endParaRPr lang="en-PH" sz="1100" baseline="0">
            <a:solidFill>
              <a:schemeClr val="tx1"/>
            </a:solidFill>
            <a:latin typeface="CentSchbkCyrill BT" panose="02040603050705020303" pitchFamily="18" charset="-52"/>
          </a:endParaRPr>
        </a:p>
        <a:p>
          <a:pPr algn="l"/>
          <a:endParaRPr lang="en-PH" sz="1100">
            <a:solidFill>
              <a:schemeClr val="tx1"/>
            </a:solidFill>
            <a:latin typeface="CentSchbkCyrill BT" panose="02040603050705020303" pitchFamily="18" charset="-52"/>
          </a:endParaRPr>
        </a:p>
      </xdr:txBody>
    </xdr:sp>
    <xdr:clientData/>
  </xdr:twoCellAnchor>
  <xdr:twoCellAnchor>
    <xdr:from>
      <xdr:col>4</xdr:col>
      <xdr:colOff>733425</xdr:colOff>
      <xdr:row>5</xdr:row>
      <xdr:rowOff>28575</xdr:rowOff>
    </xdr:from>
    <xdr:to>
      <xdr:col>7</xdr:col>
      <xdr:colOff>266700</xdr:colOff>
      <xdr:row>8</xdr:row>
      <xdr:rowOff>142875</xdr:rowOff>
    </xdr:to>
    <xdr:sp macro="" textlink="">
      <xdr:nvSpPr>
        <xdr:cNvPr id="7" name="Round Diagonal Corner Rectangle 6"/>
        <xdr:cNvSpPr/>
      </xdr:nvSpPr>
      <xdr:spPr>
        <a:xfrm>
          <a:off x="4162425" y="1409700"/>
          <a:ext cx="2105025" cy="714375"/>
        </a:xfrm>
        <a:prstGeom prst="round2Diag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solidFill>
                <a:sysClr val="windowText" lastClr="000000"/>
              </a:solidFill>
            </a:rPr>
            <a:t>                 TOTAL</a:t>
          </a:r>
          <a:r>
            <a:rPr lang="en-PH" sz="1100" baseline="0">
              <a:solidFill>
                <a:sysClr val="windowText" lastClr="000000"/>
              </a:solidFill>
            </a:rPr>
            <a:t> UNIT SOLD</a:t>
          </a:r>
          <a:endParaRPr lang="en-PH" sz="1100">
            <a:solidFill>
              <a:sysClr val="windowText" lastClr="000000"/>
            </a:solidFill>
          </a:endParaRPr>
        </a:p>
      </xdr:txBody>
    </xdr:sp>
    <xdr:clientData/>
  </xdr:twoCellAnchor>
  <xdr:twoCellAnchor>
    <xdr:from>
      <xdr:col>7</xdr:col>
      <xdr:colOff>542925</xdr:colOff>
      <xdr:row>5</xdr:row>
      <xdr:rowOff>38100</xdr:rowOff>
    </xdr:from>
    <xdr:to>
      <xdr:col>10</xdr:col>
      <xdr:colOff>76200</xdr:colOff>
      <xdr:row>8</xdr:row>
      <xdr:rowOff>152400</xdr:rowOff>
    </xdr:to>
    <xdr:sp macro="" textlink="">
      <xdr:nvSpPr>
        <xdr:cNvPr id="8" name="Round Diagonal Corner Rectangle 7"/>
        <xdr:cNvSpPr/>
      </xdr:nvSpPr>
      <xdr:spPr>
        <a:xfrm>
          <a:off x="6543675" y="1419225"/>
          <a:ext cx="2105025" cy="714375"/>
        </a:xfrm>
        <a:prstGeom prst="round2Diag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      </a:t>
          </a:r>
          <a:r>
            <a:rPr lang="en-PH" sz="1100">
              <a:solidFill>
                <a:sysClr val="windowText" lastClr="000000"/>
              </a:solidFill>
            </a:rPr>
            <a:t>AVERAGE OPERATING PROFIT</a:t>
          </a:r>
        </a:p>
      </xdr:txBody>
    </xdr:sp>
    <xdr:clientData/>
  </xdr:twoCellAnchor>
  <xdr:oneCellAnchor>
    <xdr:from>
      <xdr:col>5</xdr:col>
      <xdr:colOff>495301</xdr:colOff>
      <xdr:row>6</xdr:row>
      <xdr:rowOff>161925</xdr:rowOff>
    </xdr:from>
    <xdr:ext cx="895350" cy="280205"/>
    <xdr:sp macro="" textlink="Analyze!B24">
      <xdr:nvSpPr>
        <xdr:cNvPr id="10" name="TextBox 9"/>
        <xdr:cNvSpPr txBox="1"/>
      </xdr:nvSpPr>
      <xdr:spPr>
        <a:xfrm>
          <a:off x="5229226" y="1638300"/>
          <a:ext cx="8953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0A9CD26-1417-4514-8733-28E96BD2C12D}" type="TxLink">
            <a:rPr lang="en-US" sz="1200" b="0" i="0" u="none" strike="noStrike">
              <a:solidFill>
                <a:srgbClr val="000000"/>
              </a:solidFill>
              <a:latin typeface="Calibri"/>
              <a:cs typeface="Calibri"/>
            </a:rPr>
            <a:pPr/>
            <a:t> $9,648.00 </a:t>
          </a:fld>
          <a:endParaRPr lang="en-PH" sz="1100"/>
        </a:p>
      </xdr:txBody>
    </xdr:sp>
    <xdr:clientData/>
  </xdr:oneCellAnchor>
  <xdr:oneCellAnchor>
    <xdr:from>
      <xdr:col>2</xdr:col>
      <xdr:colOff>638175</xdr:colOff>
      <xdr:row>6</xdr:row>
      <xdr:rowOff>171450</xdr:rowOff>
    </xdr:from>
    <xdr:ext cx="1485900" cy="280205"/>
    <xdr:sp macro="" textlink="Analyze!B15">
      <xdr:nvSpPr>
        <xdr:cNvPr id="11" name="TextBox 10"/>
        <xdr:cNvSpPr txBox="1"/>
      </xdr:nvSpPr>
      <xdr:spPr>
        <a:xfrm>
          <a:off x="2514600" y="1647825"/>
          <a:ext cx="14859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56327C7-4FE1-4D69-8DDC-4CDC0756D055}" type="TxLink">
            <a:rPr lang="en-US" sz="1200" b="0" i="0" u="none" strike="noStrike">
              <a:solidFill>
                <a:srgbClr val="000000"/>
              </a:solidFill>
              <a:latin typeface="Calibri"/>
              <a:cs typeface="Calibri"/>
            </a:rPr>
            <a:pPr/>
            <a:t> $12,016,665.00 </a:t>
          </a:fld>
          <a:endParaRPr lang="en-PH" sz="1100"/>
        </a:p>
      </xdr:txBody>
    </xdr:sp>
    <xdr:clientData/>
  </xdr:oneCellAnchor>
  <xdr:twoCellAnchor>
    <xdr:from>
      <xdr:col>10</xdr:col>
      <xdr:colOff>352425</xdr:colOff>
      <xdr:row>5</xdr:row>
      <xdr:rowOff>28575</xdr:rowOff>
    </xdr:from>
    <xdr:to>
      <xdr:col>12</xdr:col>
      <xdr:colOff>742950</xdr:colOff>
      <xdr:row>8</xdr:row>
      <xdr:rowOff>142875</xdr:rowOff>
    </xdr:to>
    <xdr:sp macro="" textlink="">
      <xdr:nvSpPr>
        <xdr:cNvPr id="13" name="Round Diagonal Corner Rectangle 12"/>
        <xdr:cNvSpPr/>
      </xdr:nvSpPr>
      <xdr:spPr>
        <a:xfrm>
          <a:off x="8639175" y="1409700"/>
          <a:ext cx="2105025" cy="714375"/>
        </a:xfrm>
        <a:prstGeom prst="round2Diag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PH" sz="1100"/>
            <a:t>      </a:t>
          </a:r>
          <a:r>
            <a:rPr lang="en-PH" sz="1100">
              <a:solidFill>
                <a:sysClr val="windowText" lastClr="000000"/>
              </a:solidFill>
            </a:rPr>
            <a:t>AVERAGE OPERATING MARGIN</a:t>
          </a:r>
        </a:p>
      </xdr:txBody>
    </xdr:sp>
    <xdr:clientData/>
  </xdr:twoCellAnchor>
  <xdr:oneCellAnchor>
    <xdr:from>
      <xdr:col>8</xdr:col>
      <xdr:colOff>409575</xdr:colOff>
      <xdr:row>6</xdr:row>
      <xdr:rowOff>171450</xdr:rowOff>
    </xdr:from>
    <xdr:ext cx="866775" cy="280205"/>
    <xdr:sp macro="" textlink="Analyze!B18">
      <xdr:nvSpPr>
        <xdr:cNvPr id="12" name="TextBox 11"/>
        <xdr:cNvSpPr txBox="1"/>
      </xdr:nvSpPr>
      <xdr:spPr>
        <a:xfrm>
          <a:off x="7820025" y="1647825"/>
          <a:ext cx="8667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5939E8E-EFF9-4BB5-9A96-E926A7FB4EBA}" type="TxLink">
            <a:rPr lang="en-US" sz="1200" b="0" i="0" u="none" strike="noStrike">
              <a:solidFill>
                <a:srgbClr val="000000"/>
              </a:solidFill>
              <a:latin typeface="Calibri"/>
              <a:cs typeface="Calibri"/>
            </a:rPr>
            <a:pPr/>
            <a:t> $489.48 </a:t>
          </a:fld>
          <a:endParaRPr lang="en-PH" sz="1100"/>
        </a:p>
      </xdr:txBody>
    </xdr:sp>
    <xdr:clientData/>
  </xdr:oneCellAnchor>
  <xdr:oneCellAnchor>
    <xdr:from>
      <xdr:col>11</xdr:col>
      <xdr:colOff>190500</xdr:colOff>
      <xdr:row>6</xdr:row>
      <xdr:rowOff>133350</xdr:rowOff>
    </xdr:from>
    <xdr:ext cx="638175" cy="280205"/>
    <xdr:sp macro="" textlink="Analyze!B21">
      <xdr:nvSpPr>
        <xdr:cNvPr id="14" name="TextBox 13"/>
        <xdr:cNvSpPr txBox="1"/>
      </xdr:nvSpPr>
      <xdr:spPr>
        <a:xfrm>
          <a:off x="10429875" y="1609725"/>
          <a:ext cx="63817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BF2B213-EE7D-4E9C-8CD8-C06BAE1C6D78}" type="TxLink">
            <a:rPr lang="en-US" sz="1200" b="0" i="0" u="none" strike="noStrike">
              <a:solidFill>
                <a:srgbClr val="000000"/>
              </a:solidFill>
              <a:latin typeface="Calibri"/>
              <a:cs typeface="Calibri"/>
            </a:rPr>
            <a:pPr/>
            <a:t> $0.42 </a:t>
          </a:fld>
          <a:endParaRPr lang="en-PH" sz="1100"/>
        </a:p>
      </xdr:txBody>
    </xdr:sp>
    <xdr:clientData/>
  </xdr:oneCellAnchor>
  <xdr:twoCellAnchor>
    <xdr:from>
      <xdr:col>2</xdr:col>
      <xdr:colOff>295276</xdr:colOff>
      <xdr:row>20</xdr:row>
      <xdr:rowOff>66675</xdr:rowOff>
    </xdr:from>
    <xdr:to>
      <xdr:col>11</xdr:col>
      <xdr:colOff>323850</xdr:colOff>
      <xdr:row>35</xdr:row>
      <xdr:rowOff>171450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0</xdr:rowOff>
    </xdr:from>
    <xdr:to>
      <xdr:col>1</xdr:col>
      <xdr:colOff>0</xdr:colOff>
      <xdr:row>12</xdr:row>
      <xdr:rowOff>180975</xdr:rowOff>
    </xdr:to>
    <mc:AlternateContent xmlns:mc="http://schemas.openxmlformats.org/markup-compatibility/2006" xmlns:a14="http://schemas.microsoft.com/office/drawing/2010/main">
      <mc:Choice Requires="a14">
        <xdr:graphicFrame macro="">
          <xdr:nvGraphicFramePr>
            <xdr:cNvPr id="1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181100"/>
              <a:ext cx="1647825" cy="17811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0</xdr:rowOff>
    </xdr:from>
    <xdr:to>
      <xdr:col>0</xdr:col>
      <xdr:colOff>1609725</xdr:colOff>
      <xdr:row>20</xdr:row>
      <xdr:rowOff>171450</xdr:rowOff>
    </xdr:to>
    <mc:AlternateContent xmlns:mc="http://schemas.openxmlformats.org/markup-compatibility/2006" xmlns:tsle="http://schemas.microsoft.com/office/drawing/2012/timeslicer">
      <mc:Choice Requires="tsle">
        <xdr:graphicFrame macro="">
          <xdr:nvGraphicFramePr>
            <xdr:cNvPr id="19" name="Invoice Date 1"/>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0" y="3181350"/>
              <a:ext cx="1609725" cy="1371600"/>
            </a:xfrm>
            <a:prstGeom prst="rect">
              <a:avLst/>
            </a:prstGeom>
            <a:solidFill>
              <a:prstClr val="white"/>
            </a:solidFill>
            <a:ln w="1">
              <a:solidFill>
                <a:prstClr val="green"/>
              </a:solidFill>
            </a:ln>
          </xdr:spPr>
          <xdr:txBody>
            <a:bodyPr vertOverflow="clip" horzOverflow="clip"/>
            <a:lstStyle/>
            <a:p>
              <a:r>
                <a:rPr lang="en-PH" sz="1100"/>
                <a:t>Timeline: Works in Excel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omputer LAB" refreshedDate="46074.388887731482" createdVersion="6" refreshedVersion="6" minRefreshableVersion="3" recordCount="9648">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7:D34" firstHeaderRow="0" firstDataRow="1" firstDataCol="1"/>
  <pivotFields count="14">
    <pivotField axis="axisRow" showAll="0" sortType="descending">
      <items count="7">
        <item x="4"/>
        <item x="3"/>
        <item x="5"/>
        <item x="2"/>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1">
    <field x="0"/>
  </rowFields>
  <rowItems count="7">
    <i>
      <x/>
    </i>
    <i>
      <x v="1"/>
    </i>
    <i>
      <x v="2"/>
    </i>
    <i>
      <x v="3"/>
    </i>
    <i>
      <x v="4"/>
    </i>
    <i>
      <x v="5"/>
    </i>
    <i t="grand">
      <x/>
    </i>
  </rowItems>
  <colFields count="1">
    <field x="-2"/>
  </colFields>
  <colItems count="2">
    <i>
      <x/>
    </i>
    <i i="1">
      <x v="1"/>
    </i>
  </colItems>
  <dataFields count="2">
    <dataField name="Count of Units Sold" fld="8" subtotal="count" baseField="0" baseItem="0" numFmtId="2"/>
    <dataField name="Sum of Total Sales" fld="9" baseField="0" baseItem="0" numFmtId="167"/>
  </dataFields>
  <formats count="5">
    <format dxfId="3">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 dxfId="5">
      <pivotArea dataOnly="0" labelOnly="1" outline="0" fieldPosition="0">
        <references count="1">
          <reference field="4294967294" count="1">
            <x v="1"/>
          </reference>
        </references>
      </pivotArea>
    </format>
    <format dxfId="6">
      <pivotArea outline="0" collapsedLevelsAreSubtotals="1" fieldPosition="0">
        <references count="1">
          <reference field="4294967294" count="1" selected="0">
            <x v="1"/>
          </reference>
        </references>
      </pivotArea>
    </format>
    <format dxfId="7">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3:B24"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dataField="1" numFmtId="3" showAll="0"/>
    <pivotField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Count of Units Sold" fld="8" subtotal="count" baseField="0" baseItem="825220912" numFmtId="166"/>
  </dataFields>
  <formats count="1">
    <format dxfId="8">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20:B21"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numFmtId="164" showAll="0"/>
    <pivotField dataField="1"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Margin" fld="11" subtotal="average" baseField="0" baseItem="825220912"/>
  </dataFields>
  <formats count="1">
    <format dxfId="9">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9" cacheId="20"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B59:D69" firstHeaderRow="0" firstDataRow="1"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dataField="1" numFmtId="9" showAll="0"/>
    <pivotField axis="axisRow" showAll="0" defaultSubtotal="0">
      <items count="6">
        <item x="0"/>
        <item x="1"/>
        <item x="2"/>
        <item x="3"/>
        <item x="4"/>
        <item x="5"/>
      </items>
    </pivotField>
    <pivotField axis="axisRow" showAll="0" defaultSubtotal="0">
      <items count="5">
        <item x="0"/>
        <item x="1"/>
        <item x="2"/>
        <item x="3"/>
        <item x="4"/>
      </items>
    </pivotField>
  </pivotFields>
  <rowFields count="2">
    <field x="13"/>
    <field x="12"/>
  </rowFields>
  <rowItems count="10">
    <i>
      <x v="1"/>
    </i>
    <i r="1">
      <x v="1"/>
    </i>
    <i r="1">
      <x v="2"/>
    </i>
    <i r="1">
      <x v="3"/>
    </i>
    <i r="1">
      <x v="4"/>
    </i>
    <i>
      <x v="2"/>
    </i>
    <i r="1">
      <x v="1"/>
    </i>
    <i r="1">
      <x v="2"/>
    </i>
    <i r="1">
      <x v="3"/>
    </i>
    <i r="1">
      <x v="4"/>
    </i>
  </rowItems>
  <colFields count="1">
    <field x="-2"/>
  </colFields>
  <colItems count="2">
    <i>
      <x/>
    </i>
    <i i="1">
      <x v="1"/>
    </i>
  </colItems>
  <dataFields count="2">
    <dataField name="Sum of Total Sales" fld="9" baseField="0" baseItem="0"/>
    <dataField name="Average of Operating Margin" fld="11" subtotal="average" baseField="13" baseItem="1"/>
  </dataFields>
  <formats count="1">
    <format dxfId="1">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8" cacheId="20"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B48:D55" firstHeaderRow="1" firstDataRow="2" firstDataCol="1"/>
  <pivotFields count="14">
    <pivotField axis="axisRow" showAll="0" sortType="descending">
      <items count="7">
        <item x="4"/>
        <item x="3"/>
        <item x="5"/>
        <item x="2"/>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6">
    <i>
      <x/>
    </i>
    <i>
      <x v="1"/>
    </i>
    <i>
      <x v="2"/>
    </i>
    <i>
      <x v="3"/>
    </i>
    <i>
      <x v="4"/>
    </i>
    <i>
      <x v="5"/>
    </i>
  </rowItems>
  <colFields count="1">
    <field x="13"/>
  </colFields>
  <colItems count="2">
    <i>
      <x v="1"/>
    </i>
    <i>
      <x v="2"/>
    </i>
  </colItems>
  <dataFields count="1">
    <dataField name="Sum of Total Sales" fld="9" baseField="0" baseItem="0"/>
  </dataFields>
  <formats count="1">
    <format dxfId="2">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7:B18"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numFmtId="164" showAll="0"/>
    <pivotField dataField="1"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Average of Operating Profit" fld="10" subtotal="average" baseField="0" baseItem="825220912" numFmtId="166"/>
  </dataFields>
  <formats count="1">
    <format dxfId="10">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5" cacheId="20"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location ref="B37:D44"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6">
    <i>
      <x/>
    </i>
    <i>
      <x v="1"/>
    </i>
    <i>
      <x v="2"/>
    </i>
    <i>
      <x v="3"/>
    </i>
    <i>
      <x v="4"/>
    </i>
    <i>
      <x v="5"/>
    </i>
  </rowItems>
  <colFields count="1">
    <field x="13"/>
  </colFields>
  <colItems count="2">
    <i>
      <x v="1"/>
    </i>
    <i>
      <x v="2"/>
    </i>
  </colItems>
  <dataFields count="1">
    <dataField name="Sum of Total Sales" fld="9" baseField="0" baseItem="0"/>
  </dataFields>
  <formats count="1">
    <format dxfId="11">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B14:B15" firstHeaderRow="1" firstDataRow="1" firstDataCol="0"/>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Items count="1">
    <i/>
  </colItems>
  <dataFields count="1">
    <dataField name="Sum of Total Sales" fld="9" baseField="0" baseItem="1" numFmtId="166"/>
  </dataFields>
  <formats count="1">
    <format dxfId="0">
      <pivotArea outline="0" collapsedLevelsAreSubtotals="1" fieldPosition="0"/>
    </format>
  </formats>
  <pivotTableStyleInfo name="PivotStyleLight16" showRowHeaders="1" showColHeaders="1" showRowStripes="0" showColStripes="0" showLastColumn="1"/>
  <filters count="1">
    <filter fld="2" type="dateBetween" evalOrder="-1" id="9" name="Invoice 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5"/>
    <pivotTable tabId="5" name="PivotTable11"/>
    <pivotTable tabId="5" name="PivotTable12"/>
    <pivotTable tabId="5" name="PivotTable13"/>
    <pivotTable tabId="5" name="PivotTable14"/>
    <pivotTable tabId="5" name="PivotTable18"/>
    <pivotTable tabId="5" name="PivotTable19"/>
    <pivotTable tabId="5" name="PivotTable7"/>
  </pivotTables>
  <data>
    <tabular pivotCacheId="1">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57175"/>
</slicers>
</file>

<file path=xl/tables/table1.xml><?xml version="1.0" encoding="utf-8"?>
<table xmlns="http://schemas.openxmlformats.org/spreadsheetml/2006/main" id="1" name="Table1" displayName="Table1" ref="B4:M9652" totalsRowShown="0" headerRowDxfId="26" dataDxfId="25" tableBorderDxfId="24">
  <autoFilter ref="B4:M9652"/>
  <tableColumns count="12">
    <tableColumn id="1" name="Retailer" dataDxfId="23"/>
    <tableColumn id="2" name="Retailer ID" dataDxfId="22"/>
    <tableColumn id="3" name="Invoice Date" dataDxfId="21"/>
    <tableColumn id="4" name="Region" dataDxfId="20"/>
    <tableColumn id="5" name="State" dataDxfId="19"/>
    <tableColumn id="6" name="City" dataDxfId="18"/>
    <tableColumn id="7" name="Beverage Brand" dataDxfId="17"/>
    <tableColumn id="8" name="Price per Unit" dataDxfId="16"/>
    <tableColumn id="9" name="Units Sold" dataDxfId="15"/>
    <tableColumn id="10" name="Total Sales" dataDxfId="14"/>
    <tableColumn id="11" name="Operating Profit" dataDxfId="13"/>
    <tableColumn id="12" name="Operating Margin"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Invoice_Date" sourceName="Invoice Date">
  <pivotTables>
    <pivotTable tabId="5" name="PivotTable7"/>
    <pivotTable tabId="5" name="PivotTable11"/>
    <pivotTable tabId="5" name="PivotTable12"/>
    <pivotTable tabId="5" name="PivotTable13"/>
    <pivotTable tabId="5" name="PivotTable14"/>
    <pivotTable tabId="5" name="PivotTable15"/>
    <pivotTable tabId="5" name="PivotTable18"/>
    <pivotTable tabId="5" name="PivotTable19"/>
  </pivotTables>
  <state minimalRefreshVersion="6" lastRefreshVersion="6" pivotCacheId="1" filterType="dateBetween">
    <selection startDate="2022-01-01T00:00:00" endDate="2023-12-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Invoice Date" cache="NativeTimeline_Invoice_Date" caption="Invoice 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Invoice Date 1" cache="NativeTimeline_Invoice_Date" caption="Invoice Date"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9652"/>
  <sheetViews>
    <sheetView zoomScaleNormal="100" workbookViewId="0"/>
  </sheetViews>
  <sheetFormatPr defaultColWidth="11.25" defaultRowHeight="15.75" x14ac:dyDescent="0.25"/>
  <cols>
    <col min="1" max="1" width="8.75" bestFit="1" customWidth="1"/>
    <col min="3" max="3" width="11.25" customWidth="1"/>
    <col min="4" max="4" width="13" customWidth="1"/>
    <col min="8" max="8" width="15.75" customWidth="1"/>
    <col min="9" max="9" width="22.5" customWidth="1"/>
    <col min="10" max="10" width="20.375" customWidth="1"/>
    <col min="11" max="11" width="22.25" customWidth="1"/>
    <col min="12" max="12" width="23.75" customWidth="1"/>
    <col min="13" max="13" width="2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9"/>
  <sheetViews>
    <sheetView topLeftCell="A28" workbookViewId="0">
      <selection activeCell="R7" sqref="R7"/>
    </sheetView>
  </sheetViews>
  <sheetFormatPr defaultColWidth="8.75" defaultRowHeight="15.75" x14ac:dyDescent="0.25"/>
  <cols>
    <col min="2" max="2" width="20.875" customWidth="1"/>
    <col min="3" max="3" width="16.625" customWidth="1"/>
    <col min="4" max="4" width="26.375" customWidth="1"/>
    <col min="5" max="6" width="13.625" customWidth="1"/>
    <col min="7" max="7" width="23" customWidth="1"/>
    <col min="8" max="9" width="10" customWidth="1"/>
    <col min="10" max="10" width="8.5" customWidth="1"/>
    <col min="11" max="11" width="21.75" customWidth="1"/>
    <col min="12" max="12" width="28" customWidth="1"/>
    <col min="13" max="17" width="23" customWidth="1"/>
    <col min="18" max="18" width="21.75" customWidth="1"/>
    <col min="19" max="19" width="28" customWidth="1"/>
    <col min="20" max="26" width="8.5" customWidth="1"/>
    <col min="27" max="27" width="11" bestFit="1" customWidth="1"/>
    <col min="28" max="726" width="10.625" bestFit="1" customWidth="1"/>
    <col min="727" max="727" width="11" bestFit="1" customWidth="1"/>
  </cols>
  <sheetData>
    <row r="1" spans="1:2" ht="21" x14ac:dyDescent="0.35">
      <c r="A1" s="11" t="s">
        <v>132</v>
      </c>
    </row>
    <row r="3" spans="1:2" x14ac:dyDescent="0.25">
      <c r="B3" t="s">
        <v>133</v>
      </c>
    </row>
    <row r="4" spans="1:2" x14ac:dyDescent="0.25">
      <c r="B4" t="s">
        <v>134</v>
      </c>
    </row>
    <row r="5" spans="1:2" x14ac:dyDescent="0.25">
      <c r="B5" t="s">
        <v>135</v>
      </c>
    </row>
    <row r="6" spans="1:2" x14ac:dyDescent="0.25">
      <c r="B6" t="s">
        <v>136</v>
      </c>
    </row>
    <row r="8" spans="1:2" x14ac:dyDescent="0.25">
      <c r="B8" t="s">
        <v>137</v>
      </c>
    </row>
    <row r="9" spans="1:2" x14ac:dyDescent="0.25">
      <c r="B9" t="s">
        <v>138</v>
      </c>
    </row>
    <row r="10" spans="1:2" x14ac:dyDescent="0.25">
      <c r="B10" t="s">
        <v>139</v>
      </c>
    </row>
    <row r="11" spans="1:2" x14ac:dyDescent="0.25">
      <c r="B11" t="s">
        <v>140</v>
      </c>
    </row>
    <row r="14" spans="1:2" x14ac:dyDescent="0.25">
      <c r="B14" t="s">
        <v>131</v>
      </c>
    </row>
    <row r="15" spans="1:2" x14ac:dyDescent="0.25">
      <c r="B15" s="12">
        <v>12016664.999999965</v>
      </c>
    </row>
    <row r="17" spans="2:4" x14ac:dyDescent="0.25">
      <c r="B17" t="s">
        <v>141</v>
      </c>
    </row>
    <row r="18" spans="2:4" x14ac:dyDescent="0.25">
      <c r="B18" s="12">
        <v>489.47935012437875</v>
      </c>
    </row>
    <row r="20" spans="2:4" x14ac:dyDescent="0.25">
      <c r="B20" t="s">
        <v>142</v>
      </c>
    </row>
    <row r="21" spans="2:4" x14ac:dyDescent="0.25">
      <c r="B21" s="12">
        <v>0.422991293532333</v>
      </c>
    </row>
    <row r="23" spans="2:4" x14ac:dyDescent="0.25">
      <c r="B23" t="s">
        <v>145</v>
      </c>
    </row>
    <row r="24" spans="2:4" x14ac:dyDescent="0.25">
      <c r="B24" s="12">
        <v>9648</v>
      </c>
    </row>
    <row r="26" spans="2:4" ht="18.75" x14ac:dyDescent="0.3">
      <c r="B26" s="20" t="s">
        <v>156</v>
      </c>
    </row>
    <row r="27" spans="2:4" x14ac:dyDescent="0.25">
      <c r="B27" s="13" t="s">
        <v>143</v>
      </c>
      <c r="C27" s="16" t="s">
        <v>145</v>
      </c>
      <c r="D27" s="17" t="s">
        <v>131</v>
      </c>
    </row>
    <row r="28" spans="2:4" x14ac:dyDescent="0.25">
      <c r="B28" s="14" t="s">
        <v>128</v>
      </c>
      <c r="C28" s="16">
        <v>2374</v>
      </c>
      <c r="D28" s="17">
        <v>3240955.8000000031</v>
      </c>
    </row>
    <row r="29" spans="2:4" x14ac:dyDescent="0.25">
      <c r="B29" s="14" t="s">
        <v>126</v>
      </c>
      <c r="C29" s="16">
        <v>604</v>
      </c>
      <c r="D29" s="17">
        <v>920123.49999999919</v>
      </c>
    </row>
    <row r="30" spans="2:4" x14ac:dyDescent="0.25">
      <c r="B30" s="14" t="s">
        <v>129</v>
      </c>
      <c r="C30" s="16">
        <v>1030</v>
      </c>
      <c r="D30" s="17">
        <v>1351245.2999999993</v>
      </c>
    </row>
    <row r="31" spans="2:4" x14ac:dyDescent="0.25">
      <c r="B31" s="14" t="s">
        <v>127</v>
      </c>
      <c r="C31" s="16">
        <v>2017</v>
      </c>
      <c r="D31" s="17">
        <v>2424037.1999999974</v>
      </c>
    </row>
    <row r="32" spans="2:4" x14ac:dyDescent="0.25">
      <c r="B32" s="14" t="s">
        <v>20</v>
      </c>
      <c r="C32" s="16">
        <v>2618</v>
      </c>
      <c r="D32" s="17">
        <v>2794394.5000000014</v>
      </c>
    </row>
    <row r="33" spans="2:4" x14ac:dyDescent="0.25">
      <c r="B33" s="14" t="s">
        <v>130</v>
      </c>
      <c r="C33" s="16">
        <v>1005</v>
      </c>
      <c r="D33" s="17">
        <v>1285908.7</v>
      </c>
    </row>
    <row r="34" spans="2:4" x14ac:dyDescent="0.25">
      <c r="B34" s="14" t="s">
        <v>144</v>
      </c>
      <c r="C34" s="16">
        <v>9648</v>
      </c>
      <c r="D34" s="17">
        <v>12016664.999999987</v>
      </c>
    </row>
    <row r="36" spans="2:4" ht="21" x14ac:dyDescent="0.35">
      <c r="B36" s="18" t="s">
        <v>154</v>
      </c>
    </row>
    <row r="37" spans="2:4" x14ac:dyDescent="0.25">
      <c r="B37" s="13" t="s">
        <v>131</v>
      </c>
      <c r="C37" s="13" t="s">
        <v>152</v>
      </c>
    </row>
    <row r="38" spans="2:4" x14ac:dyDescent="0.25">
      <c r="B38" s="13" t="s">
        <v>143</v>
      </c>
      <c r="C38" t="s">
        <v>146</v>
      </c>
      <c r="D38" t="s">
        <v>151</v>
      </c>
    </row>
    <row r="39" spans="2:4" x14ac:dyDescent="0.25">
      <c r="B39" s="14" t="s">
        <v>14</v>
      </c>
      <c r="C39" s="12">
        <v>499102.00000000017</v>
      </c>
      <c r="D39" s="12">
        <v>2268974.9000000032</v>
      </c>
    </row>
    <row r="40" spans="2:4" x14ac:dyDescent="0.25">
      <c r="B40" s="14" t="s">
        <v>19</v>
      </c>
      <c r="C40" s="12">
        <v>469270.69999999984</v>
      </c>
      <c r="D40" s="12">
        <v>1917827.7999999949</v>
      </c>
    </row>
    <row r="41" spans="2:4" x14ac:dyDescent="0.25">
      <c r="B41" s="14" t="s">
        <v>15</v>
      </c>
      <c r="C41" s="12">
        <v>423758.70000000007</v>
      </c>
      <c r="D41" s="12">
        <v>1633959.3000000005</v>
      </c>
    </row>
    <row r="42" spans="2:4" x14ac:dyDescent="0.25">
      <c r="B42" s="14" t="s">
        <v>17</v>
      </c>
      <c r="C42" s="12">
        <v>315489.20000000013</v>
      </c>
      <c r="D42" s="12">
        <v>1116062.9000000027</v>
      </c>
    </row>
    <row r="43" spans="2:4" x14ac:dyDescent="0.25">
      <c r="B43" s="14" t="s">
        <v>18</v>
      </c>
      <c r="C43" s="12">
        <v>349533.89999999997</v>
      </c>
      <c r="D43" s="12">
        <v>1302529.3000000012</v>
      </c>
    </row>
    <row r="44" spans="2:4" x14ac:dyDescent="0.25">
      <c r="B44" s="14" t="s">
        <v>16</v>
      </c>
      <c r="C44" s="12">
        <v>366577.99999999988</v>
      </c>
      <c r="D44" s="12">
        <v>1353578.2999999986</v>
      </c>
    </row>
    <row r="46" spans="2:4" ht="21" x14ac:dyDescent="0.35">
      <c r="B46" s="19" t="s">
        <v>155</v>
      </c>
    </row>
    <row r="48" spans="2:4" x14ac:dyDescent="0.25">
      <c r="B48" s="13" t="s">
        <v>131</v>
      </c>
      <c r="C48" s="13" t="s">
        <v>152</v>
      </c>
    </row>
    <row r="49" spans="2:8" x14ac:dyDescent="0.25">
      <c r="B49" s="13" t="s">
        <v>143</v>
      </c>
      <c r="C49" t="s">
        <v>146</v>
      </c>
      <c r="D49" t="s">
        <v>151</v>
      </c>
    </row>
    <row r="50" spans="2:8" x14ac:dyDescent="0.25">
      <c r="B50" s="14" t="s">
        <v>128</v>
      </c>
      <c r="C50" s="12">
        <v>1170361.5999999996</v>
      </c>
      <c r="D50" s="12">
        <v>2070594.1999999993</v>
      </c>
    </row>
    <row r="51" spans="2:8" x14ac:dyDescent="0.25">
      <c r="B51" s="14" t="s">
        <v>126</v>
      </c>
      <c r="C51" s="12">
        <v>339912.5</v>
      </c>
      <c r="D51" s="12">
        <v>580211.00000000023</v>
      </c>
    </row>
    <row r="52" spans="2:8" x14ac:dyDescent="0.25">
      <c r="B52" s="14" t="s">
        <v>129</v>
      </c>
      <c r="C52" s="12">
        <v>9250.3000000000011</v>
      </c>
      <c r="D52" s="12">
        <v>1341994.9999999998</v>
      </c>
    </row>
    <row r="53" spans="2:8" x14ac:dyDescent="0.25">
      <c r="B53" s="14" t="s">
        <v>127</v>
      </c>
      <c r="C53" s="12">
        <v>161210.1</v>
      </c>
      <c r="D53" s="12">
        <v>2262827.0999999978</v>
      </c>
    </row>
    <row r="54" spans="2:8" x14ac:dyDescent="0.25">
      <c r="B54" s="14" t="s">
        <v>20</v>
      </c>
      <c r="C54" s="12">
        <v>466787.99999999994</v>
      </c>
      <c r="D54" s="12">
        <v>2327606.5000000019</v>
      </c>
    </row>
    <row r="55" spans="2:8" x14ac:dyDescent="0.25">
      <c r="B55" s="14" t="s">
        <v>130</v>
      </c>
      <c r="C55" s="12">
        <v>276210</v>
      </c>
      <c r="D55" s="12">
        <v>1009698.7</v>
      </c>
    </row>
    <row r="57" spans="2:8" ht="21" x14ac:dyDescent="0.35">
      <c r="B57" s="18" t="s">
        <v>153</v>
      </c>
    </row>
    <row r="59" spans="2:8" x14ac:dyDescent="0.25">
      <c r="B59" s="13" t="s">
        <v>143</v>
      </c>
      <c r="C59" t="s">
        <v>131</v>
      </c>
      <c r="D59" t="s">
        <v>142</v>
      </c>
    </row>
    <row r="60" spans="2:8" x14ac:dyDescent="0.25">
      <c r="B60" s="14" t="s">
        <v>146</v>
      </c>
      <c r="C60" s="12"/>
      <c r="D60" s="12"/>
      <c r="E60" t="str">
        <f>B60</f>
        <v>2022</v>
      </c>
      <c r="F60" t="str">
        <f>B61</f>
        <v>Qtr1</v>
      </c>
      <c r="G60">
        <f>C61</f>
        <v>692776.09999999986</v>
      </c>
      <c r="H60" s="10">
        <f>D61</f>
        <v>0.40174683544303763</v>
      </c>
    </row>
    <row r="61" spans="2:8" x14ac:dyDescent="0.25">
      <c r="B61" s="15" t="s">
        <v>147</v>
      </c>
      <c r="C61" s="12">
        <v>692776.09999999986</v>
      </c>
      <c r="D61" s="12">
        <v>0.40174683544303763</v>
      </c>
      <c r="F61" t="str">
        <f t="shared" ref="F61:F63" si="0">B62</f>
        <v>Qtr2</v>
      </c>
      <c r="G61">
        <f t="shared" ref="G61:G63" si="1">C62</f>
        <v>644203.89999999932</v>
      </c>
      <c r="H61" s="10">
        <f t="shared" ref="H61:H63" si="2">D62</f>
        <v>0.40000000000000013</v>
      </c>
    </row>
    <row r="62" spans="2:8" x14ac:dyDescent="0.25">
      <c r="B62" s="15" t="s">
        <v>148</v>
      </c>
      <c r="C62" s="12">
        <v>644203.89999999932</v>
      </c>
      <c r="D62" s="12">
        <v>0.40000000000000013</v>
      </c>
      <c r="F62" t="str">
        <f t="shared" si="0"/>
        <v>Qtr3</v>
      </c>
      <c r="G62">
        <f t="shared" si="1"/>
        <v>719170.39999999979</v>
      </c>
      <c r="H62" s="10">
        <f t="shared" si="2"/>
        <v>0.41026548672566376</v>
      </c>
    </row>
    <row r="63" spans="2:8" x14ac:dyDescent="0.25">
      <c r="B63" s="15" t="s">
        <v>149</v>
      </c>
      <c r="C63" s="12">
        <v>719170.39999999979</v>
      </c>
      <c r="D63" s="12">
        <v>0.41026548672566376</v>
      </c>
      <c r="F63" t="str">
        <f t="shared" si="0"/>
        <v>Qtr4</v>
      </c>
      <c r="G63">
        <f t="shared" si="1"/>
        <v>367582.10000000015</v>
      </c>
      <c r="H63" s="10">
        <f t="shared" si="2"/>
        <v>0.40243816254416953</v>
      </c>
    </row>
    <row r="64" spans="2:8" x14ac:dyDescent="0.25">
      <c r="B64" s="15" t="s">
        <v>150</v>
      </c>
      <c r="C64" s="12">
        <v>367582.10000000015</v>
      </c>
      <c r="D64" s="12">
        <v>0.40243816254416953</v>
      </c>
      <c r="H64" s="10"/>
    </row>
    <row r="65" spans="2:8" x14ac:dyDescent="0.25">
      <c r="B65" s="14" t="s">
        <v>151</v>
      </c>
      <c r="C65" s="12"/>
      <c r="D65" s="12"/>
      <c r="E65" t="str">
        <f>B65</f>
        <v>2023</v>
      </c>
      <c r="F65" t="str">
        <f>B66</f>
        <v>Qtr1</v>
      </c>
      <c r="G65">
        <f>C66</f>
        <v>1877584.300000001</v>
      </c>
      <c r="H65" s="10">
        <f>D66</f>
        <v>0.41657045009784782</v>
      </c>
    </row>
    <row r="66" spans="2:8" x14ac:dyDescent="0.25">
      <c r="B66" s="15" t="s">
        <v>147</v>
      </c>
      <c r="C66" s="12">
        <v>1877584.300000001</v>
      </c>
      <c r="D66" s="12">
        <v>0.41657045009784782</v>
      </c>
      <c r="F66" t="str">
        <f t="shared" ref="F66:F68" si="3">B67</f>
        <v>Qtr2</v>
      </c>
      <c r="G66">
        <f t="shared" ref="G66:G68" si="4">C67</f>
        <v>2379424.800000004</v>
      </c>
      <c r="H66" s="10">
        <f t="shared" ref="H66:H68" si="5">D67</f>
        <v>0.42755819477434692</v>
      </c>
    </row>
    <row r="67" spans="2:8" x14ac:dyDescent="0.25">
      <c r="B67" s="15" t="s">
        <v>148</v>
      </c>
      <c r="C67" s="12">
        <v>2379424.800000004</v>
      </c>
      <c r="D67" s="12">
        <v>0.42755819477434692</v>
      </c>
      <c r="F67" t="str">
        <f t="shared" si="3"/>
        <v>Qtr3</v>
      </c>
      <c r="G67">
        <f t="shared" si="4"/>
        <v>2805752.5000000005</v>
      </c>
      <c r="H67" s="10">
        <f t="shared" si="5"/>
        <v>0.4347017045454537</v>
      </c>
    </row>
    <row r="68" spans="2:8" x14ac:dyDescent="0.25">
      <c r="B68" s="15" t="s">
        <v>149</v>
      </c>
      <c r="C68" s="12">
        <v>2805752.5000000005</v>
      </c>
      <c r="D68" s="12">
        <v>0.4347017045454537</v>
      </c>
      <c r="F68" t="str">
        <f t="shared" si="3"/>
        <v>Qtr4</v>
      </c>
      <c r="G68">
        <f t="shared" si="4"/>
        <v>2530170.899999999</v>
      </c>
      <c r="H68" s="10">
        <f t="shared" si="5"/>
        <v>0.42483932853717082</v>
      </c>
    </row>
    <row r="69" spans="2:8" x14ac:dyDescent="0.25">
      <c r="B69" s="15" t="s">
        <v>150</v>
      </c>
      <c r="C69" s="12">
        <v>2530170.899999999</v>
      </c>
      <c r="D69" s="12">
        <v>0.42483932853717082</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tabSelected="1" workbookViewId="0">
      <selection activeCell="P16" sqref="P16"/>
    </sheetView>
  </sheetViews>
  <sheetFormatPr defaultColWidth="11.25" defaultRowHeight="15.75" x14ac:dyDescent="0.25"/>
  <cols>
    <col min="1" max="1" width="21.625" style="26" customWidth="1"/>
    <col min="2" max="2" width="3" customWidth="1"/>
    <col min="3" max="3" width="12.25" customWidth="1"/>
    <col min="4" max="6" width="12.625" bestFit="1" customWidth="1"/>
    <col min="10" max="10" width="12.625" bestFit="1" customWidth="1"/>
    <col min="11" max="11" width="13.25" customWidth="1"/>
    <col min="12" max="12" width="12.625" bestFit="1" customWidth="1"/>
  </cols>
  <sheetData>
    <row r="1" spans="2:16" x14ac:dyDescent="0.25">
      <c r="B1" s="22"/>
      <c r="C1" s="26"/>
      <c r="D1" s="26"/>
      <c r="E1" s="26"/>
      <c r="F1" s="26"/>
      <c r="G1" s="26"/>
      <c r="H1" s="26"/>
      <c r="I1" s="26"/>
      <c r="J1" s="26"/>
      <c r="K1" s="26"/>
      <c r="L1" s="26"/>
      <c r="M1" s="26"/>
      <c r="N1" s="26"/>
      <c r="O1" s="26"/>
      <c r="P1" s="26"/>
    </row>
    <row r="2" spans="2:16" ht="37.5" x14ac:dyDescent="0.5">
      <c r="B2" s="22"/>
      <c r="C2" s="26"/>
      <c r="D2" s="30" t="s">
        <v>157</v>
      </c>
      <c r="E2" s="26"/>
      <c r="F2" s="26"/>
      <c r="G2" s="26"/>
      <c r="H2" s="26"/>
      <c r="I2" s="26"/>
      <c r="J2" s="26"/>
      <c r="K2" s="26"/>
      <c r="L2" s="26"/>
      <c r="M2" s="26"/>
      <c r="N2" s="26"/>
      <c r="O2" s="26"/>
      <c r="P2" s="26"/>
    </row>
    <row r="3" spans="2:16" x14ac:dyDescent="0.25">
      <c r="B3" s="22"/>
      <c r="C3" s="26"/>
      <c r="D3" s="29" t="s">
        <v>166</v>
      </c>
      <c r="E3" s="26"/>
      <c r="F3" s="26"/>
      <c r="G3" s="26"/>
      <c r="H3" s="26"/>
      <c r="I3" s="26"/>
      <c r="J3" s="26"/>
      <c r="K3" s="26"/>
      <c r="L3" s="26"/>
      <c r="M3" s="26"/>
      <c r="N3" s="26"/>
      <c r="O3" s="26"/>
      <c r="P3" s="26"/>
    </row>
    <row r="4" spans="2:16" x14ac:dyDescent="0.25">
      <c r="C4" s="26"/>
      <c r="D4" s="26"/>
      <c r="E4" s="26"/>
      <c r="F4" s="26"/>
      <c r="G4" s="26"/>
      <c r="H4" s="26"/>
      <c r="I4" s="26"/>
      <c r="J4" s="26"/>
      <c r="K4" s="26"/>
      <c r="L4" s="26"/>
      <c r="M4" s="26"/>
      <c r="N4" s="26"/>
      <c r="O4" s="26"/>
      <c r="P4" s="26"/>
    </row>
    <row r="11" spans="2:16" x14ac:dyDescent="0.25">
      <c r="C11" s="25"/>
      <c r="D11" s="27" t="s">
        <v>163</v>
      </c>
      <c r="E11" s="25"/>
      <c r="F11" s="25"/>
      <c r="G11" s="22"/>
      <c r="I11" s="25"/>
      <c r="J11" s="27" t="s">
        <v>162</v>
      </c>
      <c r="K11" s="25"/>
      <c r="L11" s="25"/>
      <c r="M11" s="22"/>
    </row>
    <row r="12" spans="2:16" x14ac:dyDescent="0.25">
      <c r="C12" s="28" t="s">
        <v>158</v>
      </c>
      <c r="D12" s="28" t="s">
        <v>159</v>
      </c>
      <c r="E12" s="28" t="s">
        <v>160</v>
      </c>
      <c r="F12" s="28" t="s">
        <v>161</v>
      </c>
      <c r="G12" s="22"/>
      <c r="I12" s="28" t="s">
        <v>0</v>
      </c>
      <c r="J12" s="28" t="s">
        <v>159</v>
      </c>
      <c r="K12" s="28" t="s">
        <v>160</v>
      </c>
      <c r="L12" s="28" t="s">
        <v>165</v>
      </c>
      <c r="M12" s="22"/>
    </row>
    <row r="13" spans="2:16" x14ac:dyDescent="0.25">
      <c r="C13" t="str">
        <f>Analyze!B39</f>
        <v>Coca-Cola</v>
      </c>
      <c r="D13" s="23">
        <f>Analyze!C39</f>
        <v>499102.00000000017</v>
      </c>
      <c r="E13" s="23">
        <f>Analyze!D39</f>
        <v>2268974.9000000032</v>
      </c>
      <c r="F13" s="23">
        <f>E13-D13</f>
        <v>1769872.9000000029</v>
      </c>
      <c r="I13" t="str">
        <f>Analyze!B28</f>
        <v>West Soda</v>
      </c>
      <c r="J13" s="23">
        <f>Analyze!C50</f>
        <v>1170361.5999999996</v>
      </c>
      <c r="K13" s="23">
        <f>Analyze!D50</f>
        <v>2070594.1999999993</v>
      </c>
      <c r="L13" s="23">
        <f>K13-J13</f>
        <v>900232.59999999963</v>
      </c>
    </row>
    <row r="14" spans="2:16" x14ac:dyDescent="0.25">
      <c r="C14" t="str">
        <f>Analyze!B40</f>
        <v>Dasani Water</v>
      </c>
      <c r="D14" s="23">
        <f>Analyze!C40</f>
        <v>469270.69999999984</v>
      </c>
      <c r="E14" s="23">
        <f>Analyze!D40</f>
        <v>1917827.7999999949</v>
      </c>
      <c r="F14" s="23">
        <f t="shared" ref="F14:F18" si="0">E14-D14</f>
        <v>1448557.099999995</v>
      </c>
      <c r="I14" t="str">
        <f>Analyze!B29</f>
        <v>Walmart</v>
      </c>
      <c r="J14" s="23">
        <f>Analyze!C51</f>
        <v>339912.5</v>
      </c>
      <c r="K14" s="23">
        <f>Analyze!D51</f>
        <v>580211.00000000023</v>
      </c>
      <c r="L14" s="23">
        <f t="shared" ref="L14:L18" si="1">K14-J14</f>
        <v>240298.50000000023</v>
      </c>
    </row>
    <row r="15" spans="2:16" x14ac:dyDescent="0.25">
      <c r="C15" t="str">
        <f>Analyze!B41</f>
        <v>Diet Coke</v>
      </c>
      <c r="D15" s="23">
        <f>Analyze!C41</f>
        <v>423758.70000000007</v>
      </c>
      <c r="E15" s="23">
        <f>Analyze!D41</f>
        <v>1633959.3000000005</v>
      </c>
      <c r="F15" s="23">
        <f t="shared" si="0"/>
        <v>1210200.6000000006</v>
      </c>
      <c r="I15" t="str">
        <f>Analyze!B30</f>
        <v>Target</v>
      </c>
      <c r="J15" s="23">
        <f>Analyze!C52</f>
        <v>9250.3000000000011</v>
      </c>
      <c r="K15" s="23">
        <f>Analyze!D52</f>
        <v>1341994.9999999998</v>
      </c>
      <c r="L15" s="23">
        <f t="shared" si="1"/>
        <v>1332744.6999999997</v>
      </c>
    </row>
    <row r="16" spans="2:16" x14ac:dyDescent="0.25">
      <c r="C16" t="str">
        <f>Analyze!B42</f>
        <v>Fanta</v>
      </c>
      <c r="D16" s="23">
        <f>Analyze!C42</f>
        <v>315489.20000000013</v>
      </c>
      <c r="E16" s="23">
        <f>Analyze!D42</f>
        <v>1116062.9000000027</v>
      </c>
      <c r="F16" s="23">
        <f t="shared" si="0"/>
        <v>800573.70000000251</v>
      </c>
      <c r="I16" t="str">
        <f>Analyze!B31</f>
        <v>FizzyCo</v>
      </c>
      <c r="J16" s="23">
        <f>Analyze!C53</f>
        <v>161210.1</v>
      </c>
      <c r="K16" s="23">
        <f>Analyze!D53</f>
        <v>2262827.0999999978</v>
      </c>
      <c r="L16" s="23">
        <f t="shared" si="1"/>
        <v>2101616.9999999977</v>
      </c>
    </row>
    <row r="17" spans="3:12" x14ac:dyDescent="0.25">
      <c r="C17" t="str">
        <f>Analyze!B43</f>
        <v>Powerade</v>
      </c>
      <c r="D17" s="23">
        <f>Analyze!C43</f>
        <v>349533.89999999997</v>
      </c>
      <c r="E17" s="23">
        <f>Analyze!D43</f>
        <v>1302529.3000000012</v>
      </c>
      <c r="F17" s="23">
        <f t="shared" si="0"/>
        <v>952995.4000000013</v>
      </c>
      <c r="I17" t="str">
        <f>Analyze!B32</f>
        <v>BevCo</v>
      </c>
      <c r="J17" s="23">
        <f>Analyze!C54</f>
        <v>466787.99999999994</v>
      </c>
      <c r="K17" s="23">
        <f>Analyze!D54</f>
        <v>2327606.5000000019</v>
      </c>
      <c r="L17" s="23">
        <f t="shared" si="1"/>
        <v>1860818.5000000019</v>
      </c>
    </row>
    <row r="18" spans="3:12" x14ac:dyDescent="0.25">
      <c r="C18" t="str">
        <f>Analyze!B44</f>
        <v>Sprite</v>
      </c>
      <c r="D18" s="23">
        <f>Analyze!C44</f>
        <v>366577.99999999988</v>
      </c>
      <c r="E18" s="23">
        <f>Analyze!D44</f>
        <v>1353578.2999999986</v>
      </c>
      <c r="F18" s="23">
        <f t="shared" si="0"/>
        <v>987000.29999999877</v>
      </c>
      <c r="I18" t="str">
        <f>Analyze!B33</f>
        <v>Amazon</v>
      </c>
      <c r="J18" s="23">
        <f>Analyze!C55</f>
        <v>276210</v>
      </c>
      <c r="K18" s="23">
        <f>Analyze!D55</f>
        <v>1009698.7</v>
      </c>
      <c r="L18" s="23">
        <f t="shared" si="1"/>
        <v>733488.7</v>
      </c>
    </row>
    <row r="19" spans="3:12" x14ac:dyDescent="0.25">
      <c r="C19" s="21" t="s">
        <v>164</v>
      </c>
      <c r="D19" s="24">
        <f>SUM(D13:D18)</f>
        <v>2423732.5</v>
      </c>
      <c r="E19" s="24">
        <f>SUM(E13:E18)</f>
        <v>9592932.5000000019</v>
      </c>
      <c r="F19" s="24">
        <f>SUM(F13:F18)</f>
        <v>7169200.0000000009</v>
      </c>
      <c r="I19" s="21" t="s">
        <v>164</v>
      </c>
      <c r="J19" s="24">
        <f>SUM(J13:J18)</f>
        <v>2423732.4999999995</v>
      </c>
      <c r="K19" s="24">
        <f>SUM(K13:K18)</f>
        <v>9592932.4999999981</v>
      </c>
      <c r="L19" s="24">
        <f>SUM(L13:L18)</f>
        <v>7169199.9999999991</v>
      </c>
    </row>
  </sheetData>
  <conditionalFormatting sqref="F12:F18">
    <cfRule type="dataBar" priority="2">
      <dataBar>
        <cfvo type="min"/>
        <cfvo type="max"/>
        <color rgb="FF638EC6"/>
      </dataBar>
      <extLst>
        <ext xmlns:x14="http://schemas.microsoft.com/office/spreadsheetml/2009/9/main" uri="{B025F937-C7B1-47D3-B67F-A62EFF666E3E}">
          <x14:id>{797AAE88-FE56-47A9-B0AC-3DCD7725C6C4}</x14:id>
        </ext>
      </extLst>
    </cfRule>
  </conditionalFormatting>
  <conditionalFormatting sqref="L13:L18">
    <cfRule type="dataBar" priority="1">
      <dataBar>
        <cfvo type="min"/>
        <cfvo type="max"/>
        <color rgb="FF638EC6"/>
      </dataBar>
      <extLst>
        <ext xmlns:x14="http://schemas.microsoft.com/office/spreadsheetml/2009/9/main" uri="{B025F937-C7B1-47D3-B67F-A62EFF666E3E}">
          <x14:id>{F1DF0A58-74E4-4F9D-9774-8B695402C386}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97AAE88-FE56-47A9-B0AC-3DCD7725C6C4}">
            <x14:dataBar minLength="0" maxLength="100" border="1" negativeBarBorderColorSameAsPositive="0">
              <x14:cfvo type="autoMin"/>
              <x14:cfvo type="autoMax"/>
              <x14:borderColor rgb="FF638EC6"/>
              <x14:negativeFillColor rgb="FFFF0000"/>
              <x14:negativeBorderColor rgb="FFFF0000"/>
              <x14:axisColor rgb="FF000000"/>
            </x14:dataBar>
          </x14:cfRule>
          <xm:sqref>F12:F18</xm:sqref>
        </x14:conditionalFormatting>
        <x14:conditionalFormatting xmlns:xm="http://schemas.microsoft.com/office/excel/2006/main">
          <x14:cfRule type="dataBar" id="{F1DF0A58-74E4-4F9D-9774-8B695402C386}">
            <x14:dataBar minLength="0" maxLength="100" border="1" negativeBarBorderColorSameAsPositive="0">
              <x14:cfvo type="autoMin"/>
              <x14:cfvo type="autoMax"/>
              <x14:borderColor rgb="FF638EC6"/>
              <x14:negativeFillColor rgb="FFFF0000"/>
              <x14:negativeBorderColor rgb="FFFF0000"/>
              <x14:axisColor rgb="FF000000"/>
            </x14:dataBar>
          </x14:cfRule>
          <xm:sqref>L13:L18</xm:sqref>
        </x14:conditionalFormatting>
      </x14:conditionalFormattings>
    </ex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COMLAB</cp:lastModifiedBy>
  <dcterms:created xsi:type="dcterms:W3CDTF">2023-12-18T11:08:00Z</dcterms:created>
  <dcterms:modified xsi:type="dcterms:W3CDTF">2026-02-21T04:34:02Z</dcterms:modified>
</cp:coreProperties>
</file>